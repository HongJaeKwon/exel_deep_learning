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576" yWindow="108" windowWidth="22008" windowHeight="9216" activeTab="1"/>
  </bookViews>
  <sheets>
    <sheet name="train" sheetId="9" r:id="rId1"/>
    <sheet name="val" sheetId="10" r:id="rId2"/>
    <sheet name="View" sheetId="1" r:id="rId3"/>
    <sheet name="W1" sheetId="11" r:id="rId4"/>
    <sheet name="B1" sheetId="12" r:id="rId5"/>
    <sheet name="W2" sheetId="13" r:id="rId6"/>
    <sheet name="B2" sheetId="14" r:id="rId7"/>
    <sheet name="origin" sheetId="15" r:id="rId8"/>
    <sheet name="Sheet1" sheetId="16" r:id="rId9"/>
  </sheets>
  <functionGroups/>
  <definedNames>
    <definedName name="_xlnm._FilterDatabase" localSheetId="0" hidden="1">train!$A$1:$J$395</definedName>
  </definedNames>
  <calcPr calcId="124519" refMode="R1C1"/>
</workbook>
</file>

<file path=xl/calcChain.xml><?xml version="1.0" encoding="utf-8"?>
<calcChain xmlns="http://schemas.openxmlformats.org/spreadsheetml/2006/main">
  <c r="C2" i="16"/>
  <c r="D2"/>
  <c r="E2"/>
  <c r="F2"/>
  <c r="G2"/>
  <c r="H2"/>
  <c r="I2"/>
  <c r="J2"/>
  <c r="K2"/>
  <c r="B2"/>
  <c r="C1"/>
  <c r="D1"/>
  <c r="E1"/>
  <c r="F1"/>
  <c r="G1"/>
  <c r="H1"/>
  <c r="I1"/>
  <c r="J1"/>
  <c r="K1"/>
  <c r="B1"/>
  <c r="K17"/>
  <c r="I23"/>
  <c r="K33"/>
  <c r="I39"/>
  <c r="K49"/>
  <c r="I55"/>
  <c r="K65"/>
  <c r="I71"/>
  <c r="K81"/>
  <c r="I87"/>
  <c r="K97"/>
  <c r="I103"/>
  <c r="K113"/>
  <c r="I119"/>
  <c r="K129"/>
  <c r="I135"/>
  <c r="K145"/>
  <c r="I151"/>
  <c r="K161"/>
  <c r="I167"/>
  <c r="K177"/>
  <c r="I183"/>
  <c r="K193"/>
  <c r="I199"/>
  <c r="K209"/>
  <c r="I215"/>
  <c r="K225"/>
  <c r="I231"/>
  <c r="K241"/>
  <c r="I247"/>
  <c r="K257"/>
  <c r="I263"/>
  <c r="K273"/>
  <c r="I279"/>
  <c r="K289"/>
  <c r="I295"/>
  <c r="K305"/>
  <c r="I311"/>
  <c r="K321"/>
  <c r="I327"/>
  <c r="K337"/>
  <c r="I343"/>
  <c r="K346"/>
  <c r="J349"/>
  <c r="K350"/>
  <c r="J353"/>
  <c r="K354"/>
  <c r="J357"/>
  <c r="K358"/>
  <c r="J361"/>
  <c r="K362"/>
  <c r="J365"/>
  <c r="K366"/>
  <c r="J369"/>
  <c r="K370"/>
  <c r="J373"/>
  <c r="K374"/>
  <c r="J377"/>
  <c r="K378"/>
  <c r="J381"/>
  <c r="K382"/>
  <c r="J385"/>
  <c r="K386"/>
  <c r="J389"/>
  <c r="K390"/>
  <c r="J393"/>
  <c r="K394"/>
  <c r="J397"/>
  <c r="K398"/>
  <c r="J401"/>
  <c r="I4"/>
  <c r="L5"/>
  <c r="L6"/>
  <c r="L7"/>
  <c r="I7" s="1"/>
  <c r="L8"/>
  <c r="J8" s="1"/>
  <c r="L9"/>
  <c r="L10"/>
  <c r="L11"/>
  <c r="L12"/>
  <c r="L13"/>
  <c r="L14"/>
  <c r="L15"/>
  <c r="I15" s="1"/>
  <c r="L16"/>
  <c r="L17"/>
  <c r="L18"/>
  <c r="L19"/>
  <c r="I19" s="1"/>
  <c r="L20"/>
  <c r="L21"/>
  <c r="L22"/>
  <c r="L23"/>
  <c r="L24"/>
  <c r="J24" s="1"/>
  <c r="L25"/>
  <c r="L26"/>
  <c r="L27"/>
  <c r="L28"/>
  <c r="L29"/>
  <c r="L30"/>
  <c r="L31"/>
  <c r="I31" s="1"/>
  <c r="L32"/>
  <c r="L33"/>
  <c r="L34"/>
  <c r="L35"/>
  <c r="I35" s="1"/>
  <c r="L36"/>
  <c r="L37"/>
  <c r="L38"/>
  <c r="L39"/>
  <c r="L40"/>
  <c r="J40" s="1"/>
  <c r="L41"/>
  <c r="L42"/>
  <c r="L43"/>
  <c r="L44"/>
  <c r="L45"/>
  <c r="L46"/>
  <c r="L47"/>
  <c r="I47" s="1"/>
  <c r="L48"/>
  <c r="L49"/>
  <c r="L50"/>
  <c r="L51"/>
  <c r="I51" s="1"/>
  <c r="L52"/>
  <c r="J52" s="1"/>
  <c r="L53"/>
  <c r="L54"/>
  <c r="L55"/>
  <c r="L56"/>
  <c r="L57"/>
  <c r="L58"/>
  <c r="L59"/>
  <c r="L60"/>
  <c r="L61"/>
  <c r="L62"/>
  <c r="L63"/>
  <c r="I63" s="1"/>
  <c r="L64"/>
  <c r="L65"/>
  <c r="L66"/>
  <c r="L67"/>
  <c r="I67" s="1"/>
  <c r="L68"/>
  <c r="L69"/>
  <c r="L70"/>
  <c r="L71"/>
  <c r="L72"/>
  <c r="J72" s="1"/>
  <c r="L73"/>
  <c r="L74"/>
  <c r="L75"/>
  <c r="L76"/>
  <c r="J76" s="1"/>
  <c r="L77"/>
  <c r="L78"/>
  <c r="L79"/>
  <c r="I79" s="1"/>
  <c r="L80"/>
  <c r="L81"/>
  <c r="L82"/>
  <c r="L83"/>
  <c r="I83" s="1"/>
  <c r="L84"/>
  <c r="L85"/>
  <c r="L86"/>
  <c r="L87"/>
  <c r="L88"/>
  <c r="J88" s="1"/>
  <c r="L89"/>
  <c r="L90"/>
  <c r="L91"/>
  <c r="L92"/>
  <c r="L93"/>
  <c r="L94"/>
  <c r="L95"/>
  <c r="I95" s="1"/>
  <c r="L96"/>
  <c r="L97"/>
  <c r="L98"/>
  <c r="L99"/>
  <c r="I99" s="1"/>
  <c r="L100"/>
  <c r="L101"/>
  <c r="L102"/>
  <c r="L103"/>
  <c r="L104"/>
  <c r="J104" s="1"/>
  <c r="L105"/>
  <c r="L106"/>
  <c r="L107"/>
  <c r="L108"/>
  <c r="L109"/>
  <c r="L110"/>
  <c r="L111"/>
  <c r="I111" s="1"/>
  <c r="L112"/>
  <c r="L113"/>
  <c r="L114"/>
  <c r="L115"/>
  <c r="I115" s="1"/>
  <c r="L116"/>
  <c r="J116" s="1"/>
  <c r="L117"/>
  <c r="L118"/>
  <c r="L119"/>
  <c r="L120"/>
  <c r="L121"/>
  <c r="L122"/>
  <c r="L123"/>
  <c r="L124"/>
  <c r="L125"/>
  <c r="L126"/>
  <c r="L127"/>
  <c r="I127" s="1"/>
  <c r="L128"/>
  <c r="L129"/>
  <c r="L130"/>
  <c r="L131"/>
  <c r="I131" s="1"/>
  <c r="L132"/>
  <c r="L133"/>
  <c r="L134"/>
  <c r="L135"/>
  <c r="L136"/>
  <c r="J136" s="1"/>
  <c r="L137"/>
  <c r="L138"/>
  <c r="L139"/>
  <c r="L140"/>
  <c r="L141"/>
  <c r="L142"/>
  <c r="L143"/>
  <c r="I143" s="1"/>
  <c r="L144"/>
  <c r="L145"/>
  <c r="L146"/>
  <c r="L147"/>
  <c r="I147" s="1"/>
  <c r="L148"/>
  <c r="L149"/>
  <c r="L150"/>
  <c r="L151"/>
  <c r="L152"/>
  <c r="J152" s="1"/>
  <c r="L153"/>
  <c r="L154"/>
  <c r="L155"/>
  <c r="L156"/>
  <c r="L157"/>
  <c r="L158"/>
  <c r="L159"/>
  <c r="I159" s="1"/>
  <c r="L160"/>
  <c r="L161"/>
  <c r="L162"/>
  <c r="L163"/>
  <c r="I163" s="1"/>
  <c r="L164"/>
  <c r="L165"/>
  <c r="L166"/>
  <c r="L167"/>
  <c r="L168"/>
  <c r="J168" s="1"/>
  <c r="L169"/>
  <c r="L170"/>
  <c r="L171"/>
  <c r="L172"/>
  <c r="L173"/>
  <c r="L174"/>
  <c r="L175"/>
  <c r="I175" s="1"/>
  <c r="L176"/>
  <c r="L177"/>
  <c r="L178"/>
  <c r="L179"/>
  <c r="I179" s="1"/>
  <c r="L180"/>
  <c r="L181"/>
  <c r="L182"/>
  <c r="L183"/>
  <c r="L184"/>
  <c r="L185"/>
  <c r="L186"/>
  <c r="L187"/>
  <c r="L188"/>
  <c r="J188" s="1"/>
  <c r="L189"/>
  <c r="L190"/>
  <c r="L191"/>
  <c r="I191" s="1"/>
  <c r="L192"/>
  <c r="L193"/>
  <c r="L194"/>
  <c r="L195"/>
  <c r="I195" s="1"/>
  <c r="L196"/>
  <c r="L197"/>
  <c r="L198"/>
  <c r="L199"/>
  <c r="L200"/>
  <c r="J200" s="1"/>
  <c r="L201"/>
  <c r="L202"/>
  <c r="L203"/>
  <c r="L204"/>
  <c r="L205"/>
  <c r="L206"/>
  <c r="L207"/>
  <c r="I207" s="1"/>
  <c r="L208"/>
  <c r="L209"/>
  <c r="L210"/>
  <c r="L211"/>
  <c r="I211" s="1"/>
  <c r="L212"/>
  <c r="L213"/>
  <c r="L214"/>
  <c r="L215"/>
  <c r="L216"/>
  <c r="J216" s="1"/>
  <c r="L217"/>
  <c r="L218"/>
  <c r="L219"/>
  <c r="L220"/>
  <c r="L221"/>
  <c r="L222"/>
  <c r="L223"/>
  <c r="I223" s="1"/>
  <c r="L224"/>
  <c r="L225"/>
  <c r="L226"/>
  <c r="L227"/>
  <c r="I227" s="1"/>
  <c r="L228"/>
  <c r="L229"/>
  <c r="L230"/>
  <c r="L231"/>
  <c r="L232"/>
  <c r="J232" s="1"/>
  <c r="L233"/>
  <c r="L234"/>
  <c r="L235"/>
  <c r="L236"/>
  <c r="L237"/>
  <c r="L238"/>
  <c r="L239"/>
  <c r="I239" s="1"/>
  <c r="L240"/>
  <c r="L241"/>
  <c r="L242"/>
  <c r="L243"/>
  <c r="I243" s="1"/>
  <c r="L244"/>
  <c r="J244" s="1"/>
  <c r="L245"/>
  <c r="L246"/>
  <c r="L247"/>
  <c r="L248"/>
  <c r="L249"/>
  <c r="L250"/>
  <c r="L251"/>
  <c r="L252"/>
  <c r="L253"/>
  <c r="L254"/>
  <c r="L255"/>
  <c r="I255" s="1"/>
  <c r="L256"/>
  <c r="L257"/>
  <c r="L258"/>
  <c r="L259"/>
  <c r="I259" s="1"/>
  <c r="L260"/>
  <c r="J260" s="1"/>
  <c r="L261"/>
  <c r="L262"/>
  <c r="L263"/>
  <c r="L264"/>
  <c r="J264" s="1"/>
  <c r="L265"/>
  <c r="L266"/>
  <c r="L267"/>
  <c r="L268"/>
  <c r="L269"/>
  <c r="L270"/>
  <c r="L271"/>
  <c r="I271" s="1"/>
  <c r="L272"/>
  <c r="L273"/>
  <c r="L274"/>
  <c r="L275"/>
  <c r="I275" s="1"/>
  <c r="L276"/>
  <c r="L277"/>
  <c r="L278"/>
  <c r="L279"/>
  <c r="L280"/>
  <c r="J280" s="1"/>
  <c r="L281"/>
  <c r="L282"/>
  <c r="L283"/>
  <c r="L284"/>
  <c r="L285"/>
  <c r="L286"/>
  <c r="L287"/>
  <c r="I287" s="1"/>
  <c r="L288"/>
  <c r="L289"/>
  <c r="L290"/>
  <c r="L291"/>
  <c r="I291" s="1"/>
  <c r="L292"/>
  <c r="L293"/>
  <c r="L294"/>
  <c r="L295"/>
  <c r="L296"/>
  <c r="J296" s="1"/>
  <c r="L297"/>
  <c r="L298"/>
  <c r="L299"/>
  <c r="L300"/>
  <c r="L301"/>
  <c r="L302"/>
  <c r="L303"/>
  <c r="I303" s="1"/>
  <c r="L304"/>
  <c r="L305"/>
  <c r="L306"/>
  <c r="L307"/>
  <c r="I307" s="1"/>
  <c r="L308"/>
  <c r="L309"/>
  <c r="L310"/>
  <c r="L311"/>
  <c r="L312"/>
  <c r="J312" s="1"/>
  <c r="L313"/>
  <c r="L314"/>
  <c r="L315"/>
  <c r="L316"/>
  <c r="L317"/>
  <c r="L318"/>
  <c r="L319"/>
  <c r="I319" s="1"/>
  <c r="L320"/>
  <c r="L321"/>
  <c r="L322"/>
  <c r="L323"/>
  <c r="I323" s="1"/>
  <c r="L324"/>
  <c r="J324" s="1"/>
  <c r="L325"/>
  <c r="L326"/>
  <c r="L327"/>
  <c r="L328"/>
  <c r="L329"/>
  <c r="L330"/>
  <c r="L331"/>
  <c r="L332"/>
  <c r="J332" s="1"/>
  <c r="L333"/>
  <c r="L334"/>
  <c r="L335"/>
  <c r="I335" s="1"/>
  <c r="L336"/>
  <c r="L337"/>
  <c r="L338"/>
  <c r="L339"/>
  <c r="I339" s="1"/>
  <c r="L340"/>
  <c r="J340" s="1"/>
  <c r="L341"/>
  <c r="L342"/>
  <c r="L343"/>
  <c r="L344"/>
  <c r="J344" s="1"/>
  <c r="L345"/>
  <c r="L346"/>
  <c r="I346" s="1"/>
  <c r="L347"/>
  <c r="K347" s="1"/>
  <c r="L348"/>
  <c r="I348" s="1"/>
  <c r="L349"/>
  <c r="I349" s="1"/>
  <c r="L350"/>
  <c r="J350" s="1"/>
  <c r="L351"/>
  <c r="K351" s="1"/>
  <c r="L352"/>
  <c r="K352" s="1"/>
  <c r="L353"/>
  <c r="I353" s="1"/>
  <c r="L354"/>
  <c r="J354" s="1"/>
  <c r="L355"/>
  <c r="K355" s="1"/>
  <c r="L356"/>
  <c r="K356" s="1"/>
  <c r="L357"/>
  <c r="I357" s="1"/>
  <c r="L358"/>
  <c r="J358" s="1"/>
  <c r="L359"/>
  <c r="K359" s="1"/>
  <c r="L360"/>
  <c r="I360" s="1"/>
  <c r="L361"/>
  <c r="I361" s="1"/>
  <c r="L362"/>
  <c r="J362" s="1"/>
  <c r="L363"/>
  <c r="K363" s="1"/>
  <c r="L364"/>
  <c r="I364" s="1"/>
  <c r="L365"/>
  <c r="I365" s="1"/>
  <c r="L366"/>
  <c r="J366" s="1"/>
  <c r="L367"/>
  <c r="K367" s="1"/>
  <c r="L368"/>
  <c r="I368" s="1"/>
  <c r="L369"/>
  <c r="I369" s="1"/>
  <c r="L370"/>
  <c r="J370" s="1"/>
  <c r="L371"/>
  <c r="K371" s="1"/>
  <c r="L372"/>
  <c r="I372" s="1"/>
  <c r="L373"/>
  <c r="I373" s="1"/>
  <c r="L374"/>
  <c r="J374" s="1"/>
  <c r="L375"/>
  <c r="K375" s="1"/>
  <c r="L376"/>
  <c r="K376" s="1"/>
  <c r="L377"/>
  <c r="I377" s="1"/>
  <c r="L378"/>
  <c r="J378" s="1"/>
  <c r="L379"/>
  <c r="K379" s="1"/>
  <c r="L380"/>
  <c r="K380" s="1"/>
  <c r="L381"/>
  <c r="I381" s="1"/>
  <c r="L382"/>
  <c r="J382" s="1"/>
  <c r="L383"/>
  <c r="K383" s="1"/>
  <c r="L384"/>
  <c r="K384" s="1"/>
  <c r="L385"/>
  <c r="I385" s="1"/>
  <c r="L386"/>
  <c r="J386" s="1"/>
  <c r="L387"/>
  <c r="K387" s="1"/>
  <c r="L388"/>
  <c r="K388" s="1"/>
  <c r="L389"/>
  <c r="I389" s="1"/>
  <c r="L390"/>
  <c r="J390" s="1"/>
  <c r="L391"/>
  <c r="K391" s="1"/>
  <c r="L392"/>
  <c r="K392" s="1"/>
  <c r="L393"/>
  <c r="I393" s="1"/>
  <c r="L394"/>
  <c r="J394" s="1"/>
  <c r="L395"/>
  <c r="K395" s="1"/>
  <c r="L396"/>
  <c r="K396" s="1"/>
  <c r="L397"/>
  <c r="I397" s="1"/>
  <c r="L398"/>
  <c r="J398" s="1"/>
  <c r="L399"/>
  <c r="K399" s="1"/>
  <c r="L400"/>
  <c r="K400" s="1"/>
  <c r="L401"/>
  <c r="I401" s="1"/>
  <c r="L4"/>
  <c r="J4" s="1"/>
  <c r="M1" i="10"/>
  <c r="M1" i="9"/>
  <c r="K328" i="16" l="1"/>
  <c r="I328"/>
  <c r="K308"/>
  <c r="I308"/>
  <c r="K292"/>
  <c r="I292"/>
  <c r="K276"/>
  <c r="I276"/>
  <c r="K248"/>
  <c r="I248"/>
  <c r="K208"/>
  <c r="I208"/>
  <c r="K84"/>
  <c r="I84"/>
  <c r="K336"/>
  <c r="I336"/>
  <c r="K320"/>
  <c r="I320"/>
  <c r="K304"/>
  <c r="I304"/>
  <c r="K288"/>
  <c r="I288"/>
  <c r="K272"/>
  <c r="I272"/>
  <c r="K252"/>
  <c r="I252"/>
  <c r="K236"/>
  <c r="I236"/>
  <c r="K224"/>
  <c r="I224"/>
  <c r="K212"/>
  <c r="I212"/>
  <c r="K196"/>
  <c r="I196"/>
  <c r="K184"/>
  <c r="I184"/>
  <c r="K172"/>
  <c r="I172"/>
  <c r="K160"/>
  <c r="I160"/>
  <c r="K148"/>
  <c r="I148"/>
  <c r="K132"/>
  <c r="I132"/>
  <c r="K120"/>
  <c r="I120"/>
  <c r="K108"/>
  <c r="I108"/>
  <c r="K96"/>
  <c r="I96"/>
  <c r="K80"/>
  <c r="I80"/>
  <c r="K68"/>
  <c r="I68"/>
  <c r="K56"/>
  <c r="I56"/>
  <c r="K44"/>
  <c r="I44"/>
  <c r="K32"/>
  <c r="I32"/>
  <c r="K20"/>
  <c r="I20"/>
  <c r="K12"/>
  <c r="I12"/>
  <c r="J345"/>
  <c r="I345"/>
  <c r="J341"/>
  <c r="I341"/>
  <c r="J337"/>
  <c r="I337"/>
  <c r="J333"/>
  <c r="I333"/>
  <c r="J329"/>
  <c r="I329"/>
  <c r="J325"/>
  <c r="I325"/>
  <c r="J321"/>
  <c r="I321"/>
  <c r="J317"/>
  <c r="I317"/>
  <c r="J313"/>
  <c r="I313"/>
  <c r="J309"/>
  <c r="I309"/>
  <c r="J305"/>
  <c r="I305"/>
  <c r="J301"/>
  <c r="I301"/>
  <c r="J297"/>
  <c r="I297"/>
  <c r="J293"/>
  <c r="I293"/>
  <c r="J289"/>
  <c r="I289"/>
  <c r="J285"/>
  <c r="I285"/>
  <c r="J281"/>
  <c r="I281"/>
  <c r="J277"/>
  <c r="I277"/>
  <c r="J273"/>
  <c r="I273"/>
  <c r="J269"/>
  <c r="I269"/>
  <c r="J265"/>
  <c r="I265"/>
  <c r="J261"/>
  <c r="I261"/>
  <c r="J257"/>
  <c r="I257"/>
  <c r="J253"/>
  <c r="I253"/>
  <c r="J249"/>
  <c r="I249"/>
  <c r="J245"/>
  <c r="I245"/>
  <c r="J241"/>
  <c r="I241"/>
  <c r="J237"/>
  <c r="I237"/>
  <c r="J233"/>
  <c r="I233"/>
  <c r="J229"/>
  <c r="I229"/>
  <c r="J225"/>
  <c r="I225"/>
  <c r="J221"/>
  <c r="I221"/>
  <c r="J217"/>
  <c r="I217"/>
  <c r="J213"/>
  <c r="I213"/>
  <c r="J209"/>
  <c r="I209"/>
  <c r="J205"/>
  <c r="I205"/>
  <c r="J201"/>
  <c r="I201"/>
  <c r="J197"/>
  <c r="I197"/>
  <c r="J193"/>
  <c r="I193"/>
  <c r="J189"/>
  <c r="I189"/>
  <c r="J185"/>
  <c r="I185"/>
  <c r="J181"/>
  <c r="I181"/>
  <c r="J177"/>
  <c r="I177"/>
  <c r="J173"/>
  <c r="I173"/>
  <c r="J169"/>
  <c r="I169"/>
  <c r="J165"/>
  <c r="I165"/>
  <c r="J161"/>
  <c r="I161"/>
  <c r="J157"/>
  <c r="I157"/>
  <c r="J153"/>
  <c r="I153"/>
  <c r="J149"/>
  <c r="I149"/>
  <c r="J145"/>
  <c r="I145"/>
  <c r="J141"/>
  <c r="I141"/>
  <c r="J137"/>
  <c r="I137"/>
  <c r="J133"/>
  <c r="I133"/>
  <c r="J129"/>
  <c r="I129"/>
  <c r="J125"/>
  <c r="I125"/>
  <c r="J121"/>
  <c r="I121"/>
  <c r="J117"/>
  <c r="I117"/>
  <c r="J113"/>
  <c r="I113"/>
  <c r="J109"/>
  <c r="I109"/>
  <c r="J105"/>
  <c r="I105"/>
  <c r="J101"/>
  <c r="I101"/>
  <c r="J97"/>
  <c r="I97"/>
  <c r="J93"/>
  <c r="I93"/>
  <c r="J89"/>
  <c r="I89"/>
  <c r="J85"/>
  <c r="I85"/>
  <c r="J81"/>
  <c r="I81"/>
  <c r="J77"/>
  <c r="I77"/>
  <c r="J73"/>
  <c r="I73"/>
  <c r="J69"/>
  <c r="I69"/>
  <c r="J65"/>
  <c r="I65"/>
  <c r="J61"/>
  <c r="I61"/>
  <c r="J57"/>
  <c r="I57"/>
  <c r="J53"/>
  <c r="I53"/>
  <c r="J49"/>
  <c r="I49"/>
  <c r="J45"/>
  <c r="I45"/>
  <c r="J41"/>
  <c r="I41"/>
  <c r="J37"/>
  <c r="I37"/>
  <c r="J33"/>
  <c r="I33"/>
  <c r="J29"/>
  <c r="I29"/>
  <c r="J25"/>
  <c r="I25"/>
  <c r="J21"/>
  <c r="I21"/>
  <c r="J17"/>
  <c r="I17"/>
  <c r="J13"/>
  <c r="I13"/>
  <c r="J9"/>
  <c r="I9"/>
  <c r="K5"/>
  <c r="J5"/>
  <c r="I5"/>
  <c r="I388"/>
  <c r="I356"/>
  <c r="I352"/>
  <c r="J172"/>
  <c r="K401"/>
  <c r="J400"/>
  <c r="I399"/>
  <c r="K397"/>
  <c r="J396"/>
  <c r="I395"/>
  <c r="K393"/>
  <c r="J392"/>
  <c r="I391"/>
  <c r="K389"/>
  <c r="J388"/>
  <c r="I387"/>
  <c r="K385"/>
  <c r="J384"/>
  <c r="I383"/>
  <c r="K381"/>
  <c r="J380"/>
  <c r="I379"/>
  <c r="K377"/>
  <c r="J376"/>
  <c r="I375"/>
  <c r="K373"/>
  <c r="J372"/>
  <c r="I371"/>
  <c r="K369"/>
  <c r="J368"/>
  <c r="I367"/>
  <c r="K365"/>
  <c r="J364"/>
  <c r="I363"/>
  <c r="K361"/>
  <c r="J360"/>
  <c r="I359"/>
  <c r="K357"/>
  <c r="J356"/>
  <c r="I355"/>
  <c r="K353"/>
  <c r="J352"/>
  <c r="I351"/>
  <c r="K349"/>
  <c r="J348"/>
  <c r="I347"/>
  <c r="K333"/>
  <c r="J328"/>
  <c r="K317"/>
  <c r="K301"/>
  <c r="K285"/>
  <c r="K269"/>
  <c r="K253"/>
  <c r="J248"/>
  <c r="K237"/>
  <c r="K221"/>
  <c r="K205"/>
  <c r="K189"/>
  <c r="J184"/>
  <c r="K173"/>
  <c r="K157"/>
  <c r="K141"/>
  <c r="K125"/>
  <c r="J120"/>
  <c r="K109"/>
  <c r="K93"/>
  <c r="K77"/>
  <c r="K61"/>
  <c r="J56"/>
  <c r="K45"/>
  <c r="K29"/>
  <c r="K13"/>
  <c r="K344"/>
  <c r="I344"/>
  <c r="K332"/>
  <c r="I332"/>
  <c r="K316"/>
  <c r="I316"/>
  <c r="K296"/>
  <c r="I296"/>
  <c r="K280"/>
  <c r="I280"/>
  <c r="K268"/>
  <c r="I268"/>
  <c r="K256"/>
  <c r="I256"/>
  <c r="K240"/>
  <c r="I240"/>
  <c r="K228"/>
  <c r="I228"/>
  <c r="K220"/>
  <c r="I220"/>
  <c r="K204"/>
  <c r="I204"/>
  <c r="K192"/>
  <c r="I192"/>
  <c r="K180"/>
  <c r="I180"/>
  <c r="K164"/>
  <c r="I164"/>
  <c r="K152"/>
  <c r="I152"/>
  <c r="K140"/>
  <c r="I140"/>
  <c r="K124"/>
  <c r="I124"/>
  <c r="K112"/>
  <c r="I112"/>
  <c r="K100"/>
  <c r="I100"/>
  <c r="K88"/>
  <c r="I88"/>
  <c r="K72"/>
  <c r="I72"/>
  <c r="K60"/>
  <c r="I60"/>
  <c r="K48"/>
  <c r="I48"/>
  <c r="K36"/>
  <c r="I36"/>
  <c r="K28"/>
  <c r="I28"/>
  <c r="K8"/>
  <c r="I8"/>
  <c r="I342"/>
  <c r="K342"/>
  <c r="J342"/>
  <c r="I338"/>
  <c r="K338"/>
  <c r="J338"/>
  <c r="I334"/>
  <c r="K334"/>
  <c r="J334"/>
  <c r="I330"/>
  <c r="K330"/>
  <c r="J330"/>
  <c r="I326"/>
  <c r="K326"/>
  <c r="J326"/>
  <c r="I322"/>
  <c r="K322"/>
  <c r="J322"/>
  <c r="I318"/>
  <c r="K318"/>
  <c r="J318"/>
  <c r="I314"/>
  <c r="K314"/>
  <c r="J314"/>
  <c r="I310"/>
  <c r="K310"/>
  <c r="J310"/>
  <c r="I306"/>
  <c r="K306"/>
  <c r="J306"/>
  <c r="I302"/>
  <c r="K302"/>
  <c r="J302"/>
  <c r="I298"/>
  <c r="K298"/>
  <c r="J298"/>
  <c r="I294"/>
  <c r="K294"/>
  <c r="J294"/>
  <c r="I290"/>
  <c r="K290"/>
  <c r="J290"/>
  <c r="I286"/>
  <c r="K286"/>
  <c r="J286"/>
  <c r="I282"/>
  <c r="K282"/>
  <c r="J282"/>
  <c r="I278"/>
  <c r="K278"/>
  <c r="J278"/>
  <c r="I274"/>
  <c r="K274"/>
  <c r="J274"/>
  <c r="I270"/>
  <c r="K270"/>
  <c r="J270"/>
  <c r="I266"/>
  <c r="K266"/>
  <c r="J266"/>
  <c r="I262"/>
  <c r="K262"/>
  <c r="J262"/>
  <c r="I258"/>
  <c r="K258"/>
  <c r="J258"/>
  <c r="I254"/>
  <c r="K254"/>
  <c r="J254"/>
  <c r="I250"/>
  <c r="K250"/>
  <c r="J250"/>
  <c r="I246"/>
  <c r="K246"/>
  <c r="J246"/>
  <c r="I242"/>
  <c r="K242"/>
  <c r="J242"/>
  <c r="I238"/>
  <c r="K238"/>
  <c r="J238"/>
  <c r="I234"/>
  <c r="K234"/>
  <c r="J234"/>
  <c r="I230"/>
  <c r="K230"/>
  <c r="J230"/>
  <c r="I226"/>
  <c r="K226"/>
  <c r="J226"/>
  <c r="I222"/>
  <c r="K222"/>
  <c r="J222"/>
  <c r="I218"/>
  <c r="K218"/>
  <c r="J218"/>
  <c r="I214"/>
  <c r="K214"/>
  <c r="J214"/>
  <c r="I210"/>
  <c r="K210"/>
  <c r="J210"/>
  <c r="I206"/>
  <c r="K206"/>
  <c r="J206"/>
  <c r="I202"/>
  <c r="K202"/>
  <c r="J202"/>
  <c r="I198"/>
  <c r="K198"/>
  <c r="J198"/>
  <c r="I194"/>
  <c r="K194"/>
  <c r="J194"/>
  <c r="I190"/>
  <c r="K190"/>
  <c r="J190"/>
  <c r="I186"/>
  <c r="K186"/>
  <c r="J186"/>
  <c r="I182"/>
  <c r="K182"/>
  <c r="J182"/>
  <c r="I178"/>
  <c r="K178"/>
  <c r="J178"/>
  <c r="I174"/>
  <c r="K174"/>
  <c r="J174"/>
  <c r="I170"/>
  <c r="K170"/>
  <c r="J170"/>
  <c r="I166"/>
  <c r="K166"/>
  <c r="J166"/>
  <c r="I162"/>
  <c r="K162"/>
  <c r="J162"/>
  <c r="I158"/>
  <c r="K158"/>
  <c r="J158"/>
  <c r="I154"/>
  <c r="K154"/>
  <c r="J154"/>
  <c r="I150"/>
  <c r="K150"/>
  <c r="J150"/>
  <c r="I146"/>
  <c r="K146"/>
  <c r="J146"/>
  <c r="I142"/>
  <c r="K142"/>
  <c r="J142"/>
  <c r="I138"/>
  <c r="K138"/>
  <c r="J138"/>
  <c r="I134"/>
  <c r="K134"/>
  <c r="J134"/>
  <c r="I130"/>
  <c r="K130"/>
  <c r="J130"/>
  <c r="I126"/>
  <c r="K126"/>
  <c r="J126"/>
  <c r="I122"/>
  <c r="K122"/>
  <c r="J122"/>
  <c r="I118"/>
  <c r="K118"/>
  <c r="J118"/>
  <c r="I114"/>
  <c r="K114"/>
  <c r="J114"/>
  <c r="I110"/>
  <c r="K110"/>
  <c r="J110"/>
  <c r="I106"/>
  <c r="K106"/>
  <c r="J106"/>
  <c r="I102"/>
  <c r="K102"/>
  <c r="J102"/>
  <c r="I98"/>
  <c r="K98"/>
  <c r="J98"/>
  <c r="I94"/>
  <c r="K94"/>
  <c r="J94"/>
  <c r="I90"/>
  <c r="K90"/>
  <c r="J90"/>
  <c r="I86"/>
  <c r="K86"/>
  <c r="J86"/>
  <c r="I82"/>
  <c r="K82"/>
  <c r="J82"/>
  <c r="I78"/>
  <c r="K78"/>
  <c r="J78"/>
  <c r="I74"/>
  <c r="K74"/>
  <c r="J74"/>
  <c r="I70"/>
  <c r="K70"/>
  <c r="J70"/>
  <c r="I66"/>
  <c r="K66"/>
  <c r="J66"/>
  <c r="I62"/>
  <c r="K62"/>
  <c r="J62"/>
  <c r="I58"/>
  <c r="K58"/>
  <c r="J58"/>
  <c r="I54"/>
  <c r="K54"/>
  <c r="J54"/>
  <c r="I50"/>
  <c r="K50"/>
  <c r="J50"/>
  <c r="I46"/>
  <c r="K46"/>
  <c r="J46"/>
  <c r="I42"/>
  <c r="K42"/>
  <c r="J42"/>
  <c r="I38"/>
  <c r="K38"/>
  <c r="J38"/>
  <c r="I34"/>
  <c r="K34"/>
  <c r="J34"/>
  <c r="I30"/>
  <c r="K30"/>
  <c r="J30"/>
  <c r="I26"/>
  <c r="K26"/>
  <c r="J26"/>
  <c r="I22"/>
  <c r="K22"/>
  <c r="J22"/>
  <c r="I18"/>
  <c r="K18"/>
  <c r="J18"/>
  <c r="I14"/>
  <c r="K14"/>
  <c r="J14"/>
  <c r="I10"/>
  <c r="K10"/>
  <c r="J10"/>
  <c r="I6"/>
  <c r="K6"/>
  <c r="J6"/>
  <c r="I400"/>
  <c r="I396"/>
  <c r="I392"/>
  <c r="I384"/>
  <c r="I380"/>
  <c r="I376"/>
  <c r="J316"/>
  <c r="J268"/>
  <c r="J220"/>
  <c r="J60"/>
  <c r="J12"/>
  <c r="K4"/>
  <c r="J399"/>
  <c r="I398"/>
  <c r="J395"/>
  <c r="I394"/>
  <c r="J391"/>
  <c r="I390"/>
  <c r="J387"/>
  <c r="I386"/>
  <c r="J383"/>
  <c r="I382"/>
  <c r="J379"/>
  <c r="I378"/>
  <c r="J375"/>
  <c r="I374"/>
  <c r="K372"/>
  <c r="J371"/>
  <c r="I370"/>
  <c r="K368"/>
  <c r="J367"/>
  <c r="I366"/>
  <c r="K364"/>
  <c r="J363"/>
  <c r="I362"/>
  <c r="K360"/>
  <c r="J359"/>
  <c r="I358"/>
  <c r="J355"/>
  <c r="I354"/>
  <c r="J351"/>
  <c r="I350"/>
  <c r="K348"/>
  <c r="J347"/>
  <c r="K345"/>
  <c r="K329"/>
  <c r="K313"/>
  <c r="J308"/>
  <c r="K297"/>
  <c r="J292"/>
  <c r="K281"/>
  <c r="J276"/>
  <c r="K265"/>
  <c r="K249"/>
  <c r="K233"/>
  <c r="J228"/>
  <c r="K217"/>
  <c r="J212"/>
  <c r="K201"/>
  <c r="J196"/>
  <c r="K185"/>
  <c r="J180"/>
  <c r="K169"/>
  <c r="J164"/>
  <c r="K153"/>
  <c r="J148"/>
  <c r="K137"/>
  <c r="J132"/>
  <c r="K121"/>
  <c r="K105"/>
  <c r="J100"/>
  <c r="K89"/>
  <c r="J84"/>
  <c r="K73"/>
  <c r="J68"/>
  <c r="K57"/>
  <c r="K41"/>
  <c r="J36"/>
  <c r="K25"/>
  <c r="J20"/>
  <c r="K9"/>
  <c r="K340"/>
  <c r="I340"/>
  <c r="K324"/>
  <c r="I324"/>
  <c r="K312"/>
  <c r="I312"/>
  <c r="K300"/>
  <c r="I300"/>
  <c r="K284"/>
  <c r="I284"/>
  <c r="K264"/>
  <c r="I264"/>
  <c r="K260"/>
  <c r="I260"/>
  <c r="K244"/>
  <c r="I244"/>
  <c r="K232"/>
  <c r="I232"/>
  <c r="K216"/>
  <c r="I216"/>
  <c r="K200"/>
  <c r="I200"/>
  <c r="K188"/>
  <c r="I188"/>
  <c r="K176"/>
  <c r="I176"/>
  <c r="K168"/>
  <c r="I168"/>
  <c r="K156"/>
  <c r="I156"/>
  <c r="K144"/>
  <c r="I144"/>
  <c r="K136"/>
  <c r="I136"/>
  <c r="K128"/>
  <c r="I128"/>
  <c r="K116"/>
  <c r="I116"/>
  <c r="K104"/>
  <c r="I104"/>
  <c r="K92"/>
  <c r="I92"/>
  <c r="K76"/>
  <c r="I76"/>
  <c r="K64"/>
  <c r="I64"/>
  <c r="K52"/>
  <c r="I52"/>
  <c r="K40"/>
  <c r="I40"/>
  <c r="K24"/>
  <c r="I24"/>
  <c r="K16"/>
  <c r="I16"/>
  <c r="J343"/>
  <c r="K343"/>
  <c r="J339"/>
  <c r="K339"/>
  <c r="J335"/>
  <c r="K335"/>
  <c r="J331"/>
  <c r="K331"/>
  <c r="J327"/>
  <c r="K327"/>
  <c r="J323"/>
  <c r="K323"/>
  <c r="J319"/>
  <c r="K319"/>
  <c r="J315"/>
  <c r="K315"/>
  <c r="J311"/>
  <c r="K311"/>
  <c r="J307"/>
  <c r="K307"/>
  <c r="J303"/>
  <c r="K303"/>
  <c r="J299"/>
  <c r="K299"/>
  <c r="J295"/>
  <c r="K295"/>
  <c r="J291"/>
  <c r="K291"/>
  <c r="J287"/>
  <c r="K287"/>
  <c r="J283"/>
  <c r="K283"/>
  <c r="J279"/>
  <c r="K279"/>
  <c r="J275"/>
  <c r="K275"/>
  <c r="J271"/>
  <c r="K271"/>
  <c r="J267"/>
  <c r="K267"/>
  <c r="J263"/>
  <c r="K263"/>
  <c r="J259"/>
  <c r="K259"/>
  <c r="J255"/>
  <c r="K255"/>
  <c r="J251"/>
  <c r="K251"/>
  <c r="J247"/>
  <c r="K247"/>
  <c r="J243"/>
  <c r="K243"/>
  <c r="J239"/>
  <c r="K239"/>
  <c r="J235"/>
  <c r="K235"/>
  <c r="J231"/>
  <c r="K231"/>
  <c r="J227"/>
  <c r="K227"/>
  <c r="J223"/>
  <c r="K223"/>
  <c r="J219"/>
  <c r="K219"/>
  <c r="J215"/>
  <c r="K215"/>
  <c r="J211"/>
  <c r="K211"/>
  <c r="J207"/>
  <c r="K207"/>
  <c r="J203"/>
  <c r="K203"/>
  <c r="J199"/>
  <c r="K199"/>
  <c r="J195"/>
  <c r="K195"/>
  <c r="J191"/>
  <c r="K191"/>
  <c r="J187"/>
  <c r="K187"/>
  <c r="J183"/>
  <c r="K183"/>
  <c r="J179"/>
  <c r="K179"/>
  <c r="J175"/>
  <c r="K175"/>
  <c r="J171"/>
  <c r="K171"/>
  <c r="J167"/>
  <c r="K167"/>
  <c r="J163"/>
  <c r="K163"/>
  <c r="J159"/>
  <c r="K159"/>
  <c r="J155"/>
  <c r="K155"/>
  <c r="J151"/>
  <c r="K151"/>
  <c r="J147"/>
  <c r="K147"/>
  <c r="J143"/>
  <c r="K143"/>
  <c r="J139"/>
  <c r="K139"/>
  <c r="J135"/>
  <c r="K135"/>
  <c r="J131"/>
  <c r="K131"/>
  <c r="J127"/>
  <c r="K127"/>
  <c r="J123"/>
  <c r="K123"/>
  <c r="J119"/>
  <c r="K119"/>
  <c r="J115"/>
  <c r="K115"/>
  <c r="J111"/>
  <c r="K111"/>
  <c r="J107"/>
  <c r="K107"/>
  <c r="J103"/>
  <c r="K103"/>
  <c r="J99"/>
  <c r="K99"/>
  <c r="J95"/>
  <c r="K95"/>
  <c r="J91"/>
  <c r="K91"/>
  <c r="J87"/>
  <c r="K87"/>
  <c r="J83"/>
  <c r="K83"/>
  <c r="J79"/>
  <c r="K79"/>
  <c r="J75"/>
  <c r="K75"/>
  <c r="J71"/>
  <c r="K71"/>
  <c r="J67"/>
  <c r="K67"/>
  <c r="J63"/>
  <c r="K63"/>
  <c r="J59"/>
  <c r="K59"/>
  <c r="J55"/>
  <c r="K55"/>
  <c r="J51"/>
  <c r="K51"/>
  <c r="J47"/>
  <c r="K47"/>
  <c r="J43"/>
  <c r="K43"/>
  <c r="J39"/>
  <c r="K39"/>
  <c r="J35"/>
  <c r="K35"/>
  <c r="J31"/>
  <c r="K31"/>
  <c r="J27"/>
  <c r="K27"/>
  <c r="J23"/>
  <c r="K23"/>
  <c r="J19"/>
  <c r="K19"/>
  <c r="J15"/>
  <c r="K15"/>
  <c r="J11"/>
  <c r="K11"/>
  <c r="J7"/>
  <c r="K7"/>
  <c r="J300"/>
  <c r="J284"/>
  <c r="J252"/>
  <c r="J236"/>
  <c r="J204"/>
  <c r="J156"/>
  <c r="J140"/>
  <c r="J124"/>
  <c r="J108"/>
  <c r="J92"/>
  <c r="J44"/>
  <c r="J28"/>
  <c r="J346"/>
  <c r="K341"/>
  <c r="J336"/>
  <c r="I331"/>
  <c r="K325"/>
  <c r="J320"/>
  <c r="I315"/>
  <c r="K309"/>
  <c r="J304"/>
  <c r="I299"/>
  <c r="K293"/>
  <c r="J288"/>
  <c r="I283"/>
  <c r="K277"/>
  <c r="J272"/>
  <c r="I267"/>
  <c r="K261"/>
  <c r="J256"/>
  <c r="I251"/>
  <c r="K245"/>
  <c r="J240"/>
  <c r="I235"/>
  <c r="K229"/>
  <c r="J224"/>
  <c r="I219"/>
  <c r="K213"/>
  <c r="J208"/>
  <c r="I203"/>
  <c r="K197"/>
  <c r="J192"/>
  <c r="I187"/>
  <c r="K181"/>
  <c r="J176"/>
  <c r="I171"/>
  <c r="K165"/>
  <c r="J160"/>
  <c r="I155"/>
  <c r="K149"/>
  <c r="J144"/>
  <c r="I139"/>
  <c r="K133"/>
  <c r="J128"/>
  <c r="I123"/>
  <c r="K117"/>
  <c r="J112"/>
  <c r="I107"/>
  <c r="K101"/>
  <c r="J96"/>
  <c r="I91"/>
  <c r="K85"/>
  <c r="J80"/>
  <c r="I75"/>
  <c r="K69"/>
  <c r="J64"/>
  <c r="I59"/>
  <c r="K53"/>
  <c r="J48"/>
  <c r="I43"/>
  <c r="K37"/>
  <c r="J32"/>
  <c r="I27"/>
  <c r="K21"/>
  <c r="J16"/>
  <c r="I11"/>
</calcChain>
</file>

<file path=xl/sharedStrings.xml><?xml version="1.0" encoding="utf-8"?>
<sst xmlns="http://schemas.openxmlformats.org/spreadsheetml/2006/main" count="1443" uniqueCount="777">
  <si>
    <t xml:space="preserve">DATA </t>
    <phoneticPr fontId="1" type="noConversion"/>
  </si>
  <si>
    <t>https://archive.ics.uci.edu/ml/datasets/auto+mpg</t>
  </si>
  <si>
    <t>y_t</t>
    <phoneticPr fontId="1" type="noConversion"/>
  </si>
  <si>
    <t>x1</t>
    <phoneticPr fontId="1" type="noConversion"/>
  </si>
  <si>
    <t>x2</t>
    <phoneticPr fontId="1" type="noConversion"/>
  </si>
  <si>
    <t>x3</t>
  </si>
  <si>
    <t>x4</t>
  </si>
  <si>
    <t>x5</t>
  </si>
  <si>
    <t>x6</t>
  </si>
  <si>
    <t>x7</t>
  </si>
  <si>
    <t>x8</t>
  </si>
  <si>
    <t>x9</t>
  </si>
  <si>
    <t>y_p</t>
    <phoneticPr fontId="1" type="noConversion"/>
  </si>
  <si>
    <t>err</t>
    <phoneticPr fontId="1" type="noConversion"/>
  </si>
  <si>
    <t>18.0   8   307.0      130.0      3504.      12.0   70  1	"chevrolet chevelle malibu"</t>
  </si>
  <si>
    <t>15.0   8   350.0      165.0      3693.      11.5   70  1	"buick skylark 320"</t>
  </si>
  <si>
    <t>18.0   8   318.0      150.0      3436.      11.0   70  1	"plymouth satellite"</t>
  </si>
  <si>
    <t>16.0   8   304.0      150.0      3433.      12.0   70  1	"amc rebel sst"</t>
  </si>
  <si>
    <t>17.0   8   302.0      140.0      3449.      10.5   70  1	"ford torino"</t>
  </si>
  <si>
    <t>15.0   8   429.0      198.0      4341.      10.0   70  1	"ford galaxie 500"</t>
  </si>
  <si>
    <t>14.0   8   454.0      220.0      4354.       9.0   70  1	"chevrolet impala"</t>
  </si>
  <si>
    <t>14.0   8   440.0      215.0      4312.       8.5   70  1	"plymouth fury iii"</t>
  </si>
  <si>
    <t>14.0   8   455.0      225.0      4425.      10.0   70  1	"pontiac catalina"</t>
  </si>
  <si>
    <t>15.0   8   390.0      190.0      3850.       8.5   70  1	"amc ambassador dpl"</t>
  </si>
  <si>
    <t>15.0   8   383.0      170.0      3563.      10.0   70  1	"dodge challenger se"</t>
  </si>
  <si>
    <t>14.0   8   340.0      160.0      3609.       8.0   70  1	"plymouth 'cuda 340"</t>
  </si>
  <si>
    <t>15.0   8   400.0      150.0      3761.       9.5   70  1	"chevrolet monte carlo"</t>
  </si>
  <si>
    <t>14.0   8   455.0      225.0      3086.      10.0   70  1	"buick estate wagon (sw)"</t>
  </si>
  <si>
    <t>24.0   4   113.0      95.00      2372.      15.0   70  3	"toyota corona mark ii"</t>
  </si>
  <si>
    <t>22.0   6   198.0      95.00      2833.      15.5   70  1	"plymouth duster"</t>
  </si>
  <si>
    <t>18.0   6   199.0      97.00      2774.      15.5   70  1	"amc hornet"</t>
  </si>
  <si>
    <t>21.0   6   200.0      85.00      2587.      16.0   70  1	"ford maverick"</t>
  </si>
  <si>
    <t>27.0   4   97.00      88.00      2130.      14.5   70  3	"datsun pl510"</t>
  </si>
  <si>
    <t>26.0   4   97.00      46.00      1835.      20.5   70  2	"volkswagen 1131 deluxe sedan"</t>
  </si>
  <si>
    <t>25.0   4   110.0      87.00      2672.      17.5   70  2	"peugeot 504"</t>
  </si>
  <si>
    <t>24.0   4   107.0      90.00      2430.      14.5   70  2	"audi 100 ls"</t>
  </si>
  <si>
    <t>25.0   4   104.0      95.00      2375.      17.5   70  2	"saab 99e"</t>
  </si>
  <si>
    <t>26.0   4   121.0      113.0      2234.      12.5   70  2	"bmw 2002"</t>
  </si>
  <si>
    <t>21.0   6   199.0      90.00      2648.      15.0   70  1	"amc gremlin"</t>
  </si>
  <si>
    <t>10.0   8   360.0      215.0      4615.      14.0   70  1	"ford f250"</t>
  </si>
  <si>
    <t>10.0   8   307.0      200.0      4376.      15.0   70  1	"chevy c20"</t>
  </si>
  <si>
    <t>11.0   8   318.0      210.0      4382.      13.5   70  1	"dodge d200"</t>
  </si>
  <si>
    <t>9.0    8   304.0      193.0      4732.      18.5   70  1	"hi 1200d"</t>
  </si>
  <si>
    <t>27.0   4   97.00      88.00      2130.      14.5   71  3	"datsun pl510"</t>
  </si>
  <si>
    <t>28.0   4   140.0      90.00      2264.      15.5   71  1	"chevrolet vega 2300"</t>
  </si>
  <si>
    <t>25.0   4   113.0      95.00      2228.      14.0   71  3	"toyota corona"</t>
  </si>
  <si>
    <t>25.0   4   98.00      ?          2046.      19.0   71  1	"ford pinto"</t>
  </si>
  <si>
    <t>19.0   6   232.0      100.0      2634.      13.0   71  1	"amc gremlin"</t>
  </si>
  <si>
    <t>16.0   6   225.0      105.0      3439.      15.5   71  1	"plymouth satellite custom"</t>
  </si>
  <si>
    <t>17.0   6   250.0      100.0      3329.      15.5   71  1	"chevrolet chevelle malibu"</t>
  </si>
  <si>
    <t>19.0   6   250.0      88.00      3302.      15.5   71  1	"ford torino 500"</t>
  </si>
  <si>
    <t>18.0   6   232.0      100.0      3288.      15.5   71  1	"amc matador"</t>
  </si>
  <si>
    <t>14.0   8   350.0      165.0      4209.      12.0   71  1	"chevrolet impala"</t>
  </si>
  <si>
    <t>14.0   8   400.0      175.0      4464.      11.5   71  1	"pontiac catalina brougham"</t>
  </si>
  <si>
    <t>14.0   8   351.0      153.0      4154.      13.5   71  1	"ford galaxie 500"</t>
  </si>
  <si>
    <t>14.0   8   318.0      150.0      4096.      13.0   71  1	"plymouth fury iii"</t>
  </si>
  <si>
    <t>12.0   8   383.0      180.0      4955.      11.5   71  1	"dodge monaco (sw)"</t>
  </si>
  <si>
    <t>13.0   8   400.0      170.0      4746.      12.0   71  1	"ford country squire (sw)"</t>
  </si>
  <si>
    <t>13.0   8   400.0      175.0      5140.      12.0   71  1	"pontiac safari (sw)"</t>
  </si>
  <si>
    <t>18.0   6   258.0      110.0      2962.      13.5   71  1	"amc hornet sportabout (sw)"</t>
  </si>
  <si>
    <t>22.0   4   140.0      72.00      2408.      19.0   71  1	"chevrolet vega (sw)"</t>
  </si>
  <si>
    <t>19.0   6   250.0      100.0      3282.      15.0   71  1	"pontiac firebird"</t>
  </si>
  <si>
    <t>18.0   6   250.0      88.00      3139.      14.5   71  1	"ford mustang"</t>
  </si>
  <si>
    <t>23.0   4   122.0      86.00      2220.      14.0   71  1	"mercury capri 2000"</t>
  </si>
  <si>
    <t>28.0   4   116.0      90.00      2123.      14.0   71  2	"opel 1900"</t>
  </si>
  <si>
    <t>30.0   4   79.00      70.00      2074.      19.5   71  2	"peugeot 304"</t>
  </si>
  <si>
    <t>30.0   4   88.00      76.00      2065.      14.5   71  2	"fiat 124b"</t>
  </si>
  <si>
    <t>31.0   4   71.00      65.00      1773.      19.0   71  3	"toyota corolla 1200"</t>
  </si>
  <si>
    <t>35.0   4   72.00      69.00      1613.      18.0   71  3	"datsun 1200"</t>
  </si>
  <si>
    <t>27.0   4   97.00      60.00      1834.      19.0   71  2	"volkswagen model 111"</t>
  </si>
  <si>
    <t>26.0   4   91.00      70.00      1955.      20.5   71  1	"plymouth cricket"</t>
  </si>
  <si>
    <t>24.0   4   113.0      95.00      2278.      15.5   72  3	"toyota corona hardtop"</t>
  </si>
  <si>
    <t>25.0   4   97.50      80.00      2126.      17.0   72  1	"dodge colt hardtop"</t>
  </si>
  <si>
    <t>23.0   4   97.00      54.00      2254.      23.5   72  2	"volkswagen type 3"</t>
  </si>
  <si>
    <t>20.0   4   140.0      90.00      2408.      19.5   72  1	"chevrolet vega"</t>
  </si>
  <si>
    <t>21.0   4   122.0      86.00      2226.      16.5   72  1	"ford pinto runabout"</t>
  </si>
  <si>
    <t>13.0   8   350.0      165.0      4274.      12.0   72  1	"chevrolet impala"</t>
  </si>
  <si>
    <t>14.0   8   400.0      175.0      4385.      12.0   72  1	"pontiac catalina"</t>
  </si>
  <si>
    <t>15.0   8   318.0      150.0      4135.      13.5   72  1	"plymouth fury iii"</t>
  </si>
  <si>
    <t>14.0   8   351.0      153.0      4129.      13.0   72  1	"ford galaxie 500"</t>
  </si>
  <si>
    <t>17.0   8   304.0      150.0      3672.      11.5   72  1	"amc ambassador sst"</t>
  </si>
  <si>
    <t>11.0   8   429.0      208.0      4633.      11.0   72  1	"mercury marquis"</t>
  </si>
  <si>
    <t>13.0   8   350.0      155.0      4502.      13.5   72  1	"buick lesabre custom"</t>
  </si>
  <si>
    <t>12.0   8   350.0      160.0      4456.      13.5   72  1	"oldsmobile delta 88 royale"</t>
  </si>
  <si>
    <t>13.0   8   400.0      190.0      4422.      12.5   72  1	"chrysler newport royal"</t>
  </si>
  <si>
    <t>19.0   3   70.00      97.00      2330.      13.5   72  3	"mazda rx2 coupe"</t>
  </si>
  <si>
    <t>15.0   8   304.0      150.0      3892.      12.5   72  1	"amc matador (sw)"</t>
  </si>
  <si>
    <t>13.0   8   307.0      130.0      4098.      14.0   72  1	"chevrolet chevelle concours (sw)"</t>
  </si>
  <si>
    <t>13.0   8   302.0      140.0      4294.      16.0   72  1	"ford gran torino (sw)"</t>
  </si>
  <si>
    <t>14.0   8   318.0      150.0      4077.      14.0   72  1	"plymouth satellite custom (sw)"</t>
  </si>
  <si>
    <t>18.0   4   121.0      112.0      2933.      14.5   72  2	"volvo 145e (sw)"</t>
  </si>
  <si>
    <t>22.0   4   121.0      76.00      2511.      18.0   72  2	"volkswagen 411 (sw)"</t>
  </si>
  <si>
    <t>21.0   4   120.0      87.00      2979.      19.5   72  2	"peugeot 504 (sw)"</t>
  </si>
  <si>
    <t>26.0   4   96.00      69.00      2189.      18.0   72  2	"renault 12 (sw)"</t>
  </si>
  <si>
    <t>22.0   4   122.0      86.00      2395.      16.0   72  1	"ford pinto (sw)"</t>
  </si>
  <si>
    <t>28.0   4   97.00      92.00      2288.      17.0   72  3	"datsun 510 (sw)"</t>
  </si>
  <si>
    <t>23.0   4   120.0      97.00      2506.      14.5   72  3	"toyouta corona mark ii (sw)"</t>
  </si>
  <si>
    <t>28.0   4   98.00      80.00      2164.      15.0   72  1	"dodge colt (sw)"</t>
  </si>
  <si>
    <t>27.0   4   97.00      88.00      2100.      16.5   72  3	"toyota corolla 1600 (sw)"</t>
  </si>
  <si>
    <t>13.0   8   350.0      175.0      4100.      13.0   73  1	"buick century 350"</t>
  </si>
  <si>
    <t>14.0   8   304.0      150.0      3672.      11.5   73  1	"amc matador"</t>
  </si>
  <si>
    <t>13.0   8   350.0      145.0      3988.      13.0   73  1	"chevrolet malibu"</t>
  </si>
  <si>
    <t>14.0   8   302.0      137.0      4042.      14.5   73  1	"ford gran torino"</t>
  </si>
  <si>
    <t>15.0   8   318.0      150.0      3777.      12.5   73  1	"dodge coronet custom"</t>
  </si>
  <si>
    <t>12.0   8   429.0      198.0      4952.      11.5   73  1	"mercury marquis brougham"</t>
  </si>
  <si>
    <t>13.0   8   400.0      150.0      4464.      12.0   73  1	"chevrolet caprice classic"</t>
  </si>
  <si>
    <t>13.0   8   351.0      158.0      4363.      13.0   73  1	"ford ltd"</t>
  </si>
  <si>
    <t>14.0   8   318.0      150.0      4237.      14.5   73  1	"plymouth fury gran sedan"</t>
  </si>
  <si>
    <t>13.0   8   440.0      215.0      4735.      11.0   73  1	"chrysler new yorker brougham"</t>
  </si>
  <si>
    <t>12.0   8   455.0      225.0      4951.      11.0   73  1	"buick electra 225 custom"</t>
  </si>
  <si>
    <t>13.0   8   360.0      175.0      3821.      11.0   73  1	"amc ambassador brougham"</t>
  </si>
  <si>
    <t>18.0   6   225.0      105.0      3121.      16.5   73  1	"plymouth valiant"</t>
  </si>
  <si>
    <t>16.0   6   250.0      100.0      3278.      18.0   73  1	"chevrolet nova custom"</t>
  </si>
  <si>
    <t>18.0   6   232.0      100.0      2945.      16.0   73  1	"amc hornet"</t>
  </si>
  <si>
    <t>18.0   6   250.0      88.00      3021.      16.5   73  1	"ford maverick"</t>
  </si>
  <si>
    <t>23.0   6   198.0      95.00      2904.      16.0   73  1	"plymouth duster"</t>
  </si>
  <si>
    <t>26.0   4   97.00      46.00      1950.      21.0   73  2	"volkswagen super beetle"</t>
  </si>
  <si>
    <t>11.0   8   400.0      150.0      4997.      14.0   73  1	"chevrolet impala"</t>
  </si>
  <si>
    <t>12.0   8   400.0      167.0      4906.      12.5   73  1	"ford country"</t>
  </si>
  <si>
    <t>13.0   8   360.0      170.0      4654.      13.0   73  1	"plymouth custom suburb"</t>
  </si>
  <si>
    <t>12.0   8   350.0      180.0      4499.      12.5   73  1	"oldsmobile vista cruiser"</t>
  </si>
  <si>
    <t>18.0   6   232.0      100.0      2789.      15.0   73  1	"amc gremlin"</t>
  </si>
  <si>
    <t>20.0   4   97.00      88.00      2279.      19.0   73  3	"toyota carina"</t>
  </si>
  <si>
    <t>21.0   4   140.0      72.00      2401.      19.5   73  1	"chevrolet vega"</t>
  </si>
  <si>
    <t>22.0   4   108.0      94.00      2379.      16.5   73  3	"datsun 610"</t>
  </si>
  <si>
    <t>18.0   3   70.00      90.00      2124.      13.5   73  3	"maxda rx3"</t>
  </si>
  <si>
    <t>19.0   4   122.0      85.00      2310.      18.5   73  1	"ford pinto"</t>
  </si>
  <si>
    <t>21.0   6   155.0      107.0      2472.      14.0   73  1	"mercury capri v6"</t>
  </si>
  <si>
    <t>26.0   4   98.00      90.00      2265.      15.5   73  2	"fiat 124 sport coupe"</t>
  </si>
  <si>
    <t>15.0   8   350.0      145.0      4082.      13.0   73  1	"chevrolet monte carlo s"</t>
  </si>
  <si>
    <t>16.0   8   400.0      230.0      4278.      9.50   73  1	"pontiac grand prix"</t>
  </si>
  <si>
    <t>29.0   4   68.00      49.00      1867.      19.5   73  2	"fiat 128"</t>
  </si>
  <si>
    <t>24.0   4   116.0      75.00      2158.      15.5   73  2	"opel manta"</t>
  </si>
  <si>
    <t>20.0   4   114.0      91.00      2582.      14.0   73  2	"audi 100ls"</t>
  </si>
  <si>
    <t>19.0   4   121.0      112.0      2868.      15.5   73  2	"volvo 144ea"</t>
  </si>
  <si>
    <t>15.0   8   318.0      150.0      3399.      11.0   73  1	"dodge dart custom"</t>
  </si>
  <si>
    <t>24.0   4   121.0      110.0      2660.      14.0   73  2	"saab 99le"</t>
  </si>
  <si>
    <t>20.0   6   156.0      122.0      2807.      13.5   73  3	"toyota mark ii"</t>
  </si>
  <si>
    <t>11.0   8   350.0      180.0      3664.      11.0   73  1	"oldsmobile omega"</t>
  </si>
  <si>
    <t>20.0   6   198.0      95.00      3102.      16.5   74  1	"plymouth duster"</t>
  </si>
  <si>
    <t>21.0   6   200.0      ?          2875.      17.0   74  1	"ford maverick"</t>
  </si>
  <si>
    <t>19.0   6   232.0      100.0      2901.      16.0   74  1	"amc hornet"</t>
  </si>
  <si>
    <t>15.0   6   250.0      100.0      3336.      17.0   74  1	"chevrolet nova"</t>
  </si>
  <si>
    <t>31.0   4   79.00      67.00      1950.      19.0   74  3	"datsun b210"</t>
  </si>
  <si>
    <t>26.0   4   122.0      80.00      2451.      16.5   74  1	"ford pinto"</t>
  </si>
  <si>
    <t>32.0   4   71.00      65.00      1836.      21.0   74  3	"toyota corolla 1200"</t>
  </si>
  <si>
    <t>25.0   4   140.0      75.00      2542.      17.0   74  1	"chevrolet vega"</t>
  </si>
  <si>
    <t>16.0   6   250.0      100.0      3781.      17.0   74  1	"chevrolet chevelle malibu classic"</t>
  </si>
  <si>
    <t>16.0   6   258.0      110.0      3632.      18.0   74  1	"amc matador"</t>
  </si>
  <si>
    <t>18.0   6   225.0      105.0      3613.      16.5   74  1	"plymouth satellite sebring"</t>
  </si>
  <si>
    <t>16.0   8   302.0      140.0      4141.      14.0   74  1	"ford gran torino"</t>
  </si>
  <si>
    <t>13.0   8   350.0      150.0      4699.      14.5   74  1	"buick century luxus (sw)"</t>
  </si>
  <si>
    <t>14.0   8   318.0      150.0      4457.      13.5   74  1	"dodge coronet custom (sw)"</t>
  </si>
  <si>
    <t>14.0   8   302.0      140.0      4638.      16.0   74  1	"ford gran torino (sw)"</t>
  </si>
  <si>
    <t>14.0   8   304.0      150.0      4257.      15.5   74  1	"amc matador (sw)"</t>
  </si>
  <si>
    <t>29.0   4   98.00      83.00      2219.      16.5   74  2	"audi fox"</t>
  </si>
  <si>
    <t>26.0   4   79.00      67.00      1963.      15.5   74  2	"volkswagen dasher"</t>
  </si>
  <si>
    <t>26.0   4   97.00      78.00      2300.      14.5   74  2	"opel manta"</t>
  </si>
  <si>
    <t>31.0   4   76.00      52.00      1649.      16.5   74  3	"toyota corona"</t>
  </si>
  <si>
    <t>32.0   4   83.00      61.00      2003.      19.0   74  3	"datsun 710"</t>
  </si>
  <si>
    <t>28.0   4   90.00      75.00      2125.      14.5   74  1	"dodge colt"</t>
  </si>
  <si>
    <t>24.0   4   90.00      75.00      2108.      15.5   74  2	"fiat 128"</t>
  </si>
  <si>
    <t>26.0   4   116.0      75.00      2246.      14.0   74  2	"fiat 124 tc"</t>
  </si>
  <si>
    <t>24.0   4   120.0      97.00      2489.      15.0   74  3	"honda civic"</t>
  </si>
  <si>
    <t>26.0   4   108.0      93.00      2391.      15.5   74  3	"subaru"</t>
  </si>
  <si>
    <t>31.0   4   79.00      67.00      2000.      16.0   74  2	"fiat x1.9"</t>
  </si>
  <si>
    <t>19.0   6   225.0      95.00      3264.      16.0   75  1	"plymouth valiant custom"</t>
  </si>
  <si>
    <t>18.0   6   250.0      105.0      3459.      16.0   75  1	"chevrolet nova"</t>
  </si>
  <si>
    <t>15.0   6   250.0      72.00      3432.      21.0   75  1	"mercury monarch"</t>
  </si>
  <si>
    <t>15.0   6   250.0      72.00      3158.      19.5   75  1	"ford maverick"</t>
  </si>
  <si>
    <t>16.0   8   400.0      170.0      4668.      11.5   75  1	"pontiac catalina"</t>
  </si>
  <si>
    <t>15.0   8   350.0      145.0      4440.      14.0   75  1	"chevrolet bel air"</t>
  </si>
  <si>
    <t>16.0   8   318.0      150.0      4498.      14.5   75  1	"plymouth grand fury"</t>
  </si>
  <si>
    <t>14.0   8   351.0      148.0      4657.      13.5   75  1	"ford ltd"</t>
  </si>
  <si>
    <t>17.0   6   231.0      110.0      3907.      21.0   75  1	"buick century"</t>
  </si>
  <si>
    <t>16.0   6   250.0      105.0      3897.      18.5   75  1	"chevroelt chevelle malibu"</t>
  </si>
  <si>
    <t>15.0   6   258.0      110.0      3730.      19.0   75  1	"amc matador"</t>
  </si>
  <si>
    <t>18.0   6   225.0      95.00      3785.      19.0   75  1	"plymouth fury"</t>
  </si>
  <si>
    <t>21.0   6   231.0      110.0      3039.      15.0   75  1	"buick skyhawk"</t>
  </si>
  <si>
    <t>20.0   8   262.0      110.0      3221.      13.5   75  1	"chevrolet monza 2+2"</t>
  </si>
  <si>
    <t>13.0   8   302.0      129.0      3169.      12.0   75  1	"ford mustang ii"</t>
  </si>
  <si>
    <t>29.0   4   97.00      75.00      2171.      16.0   75  3	"toyota corolla"</t>
  </si>
  <si>
    <t>23.0   4   140.0      83.00      2639.      17.0   75  1	"ford pinto"</t>
  </si>
  <si>
    <t>20.0   6   232.0      100.0      2914.      16.0   75  1	"amc gremlin"</t>
  </si>
  <si>
    <t>23.0   4   140.0      78.00      2592.      18.5   75  1	"pontiac astro"</t>
  </si>
  <si>
    <t>24.0   4   134.0      96.00      2702.      13.5   75  3	"toyota corona"</t>
  </si>
  <si>
    <t>25.0   4   90.00      71.00      2223.      16.5   75  2	"volkswagen dasher"</t>
  </si>
  <si>
    <t>24.0   4   119.0      97.00      2545.      17.0   75  3	"datsun 710"</t>
  </si>
  <si>
    <t>18.0   6   171.0      97.00      2984.      14.5   75  1	"ford pinto"</t>
  </si>
  <si>
    <t>29.0   4   90.00      70.00      1937.      14.0   75  2	"volkswagen rabbit"</t>
  </si>
  <si>
    <t>19.0   6   232.0      90.00      3211.      17.0   75  1	"amc pacer"</t>
  </si>
  <si>
    <t>23.0   4   115.0      95.00      2694.      15.0   75  2	"audi 100ls"</t>
  </si>
  <si>
    <t>23.0   4   120.0      88.00      2957.      17.0   75  2	"peugeot 504"</t>
  </si>
  <si>
    <t>22.0   4   121.0      98.00      2945.      14.5   75  2	"volvo 244dl"</t>
  </si>
  <si>
    <t>25.0   4   121.0      115.0      2671.      13.5   75  2	"saab 99le"</t>
  </si>
  <si>
    <t>33.0   4   91.00      53.00      1795.      17.5   75  3	"honda civic cvcc"</t>
  </si>
  <si>
    <t>28.0   4   107.0      86.00      2464.      15.5   76  2	"fiat 131"</t>
  </si>
  <si>
    <t>25.0   4   116.0      81.00      2220.      16.9   76  2	"opel 1900"</t>
  </si>
  <si>
    <t>25.0   4   140.0      92.00      2572.      14.9   76  1	"capri ii"</t>
  </si>
  <si>
    <t>26.0   4   98.00      79.00      2255.      17.7   76  1	"dodge colt"</t>
  </si>
  <si>
    <t>27.0   4   101.0      83.00      2202.      15.3   76  2	"renault 12tl"</t>
  </si>
  <si>
    <t>17.5   8   305.0      140.0      4215.      13.0   76  1	"chevrolet chevelle malibu classic"</t>
  </si>
  <si>
    <t>16.0   8   318.0      150.0      4190.      13.0   76  1	"dodge coronet brougham"</t>
  </si>
  <si>
    <t>15.5   8   304.0      120.0      3962.      13.9   76  1	"amc matador"</t>
  </si>
  <si>
    <t>14.5   8   351.0      152.0      4215.      12.8   76  1	"ford gran torino"</t>
  </si>
  <si>
    <t>22.0   6   225.0      100.0      3233.      15.4   76  1	"plymouth valiant"</t>
  </si>
  <si>
    <t>22.0   6   250.0      105.0      3353.      14.5   76  1	"chevrolet nova"</t>
  </si>
  <si>
    <t>24.0   6   200.0      81.00      3012.      17.6   76  1	"ford maverick"</t>
  </si>
  <si>
    <t>22.5   6   232.0      90.00      3085.      17.6   76  1	"amc hornet"</t>
  </si>
  <si>
    <t>29.0   4   85.00      52.00      2035.      22.2   76  1	"chevrolet chevette"</t>
  </si>
  <si>
    <t>24.5   4   98.00      60.00      2164.      22.1   76  1	"chevrolet woody"</t>
  </si>
  <si>
    <t>29.0   4   90.00      70.00      1937.      14.2   76  2	"vw rabbit"</t>
  </si>
  <si>
    <t>33.0   4   91.00      53.00      1795.      17.4   76  3	"honda civic"</t>
  </si>
  <si>
    <t>20.0   6   225.0      100.0      3651.      17.7   76  1	"dodge aspen se"</t>
  </si>
  <si>
    <t>18.0   6   250.0      78.00      3574.      21.0   76  1	"ford granada ghia"</t>
  </si>
  <si>
    <t>18.5   6   250.0      110.0      3645.      16.2   76  1	"pontiac ventura sj"</t>
  </si>
  <si>
    <t>17.5   6   258.0      95.00      3193.      17.8   76  1	"amc pacer d/l"</t>
  </si>
  <si>
    <t>29.5   4   97.00      71.00      1825.      12.2   76  2	"volkswagen rabbit"</t>
  </si>
  <si>
    <t>32.0   4   85.00      70.00      1990.      17.0   76  3	"datsun b-210"</t>
  </si>
  <si>
    <t>28.0   4   97.00      75.00      2155.      16.4   76  3	"toyota corolla"</t>
  </si>
  <si>
    <t>26.5   4   140.0      72.00      2565.      13.6   76  1	"ford pinto"</t>
  </si>
  <si>
    <t>20.0   4   130.0      102.0      3150.      15.7   76  2	"volvo 245"</t>
  </si>
  <si>
    <t>13.0   8   318.0      150.0      3940.      13.2   76  1	"plymouth volare premier v8"</t>
  </si>
  <si>
    <t>19.0   4   120.0      88.00      3270.      21.9   76  2	"peugeot 504"</t>
  </si>
  <si>
    <t>19.0   6   156.0      108.0      2930.      15.5   76  3	"toyota mark ii"</t>
  </si>
  <si>
    <t>16.5   6   168.0      120.0      3820.      16.7   76  2	"mercedes-benz 280s"</t>
  </si>
  <si>
    <t>16.5   8   350.0      180.0      4380.      12.1   76  1	"cadillac seville"</t>
  </si>
  <si>
    <t>13.0   8   350.0      145.0      4055.      12.0   76  1	"chevy c10"</t>
  </si>
  <si>
    <t>13.0   8   302.0      130.0      3870.      15.0   76  1	"ford f108"</t>
  </si>
  <si>
    <t>13.0   8   318.0      150.0      3755.      14.0   76  1	"dodge d100"</t>
  </si>
  <si>
    <t>31.5   4   98.00      68.00      2045.      18.5   77  3	"honda accord cvcc"</t>
  </si>
  <si>
    <t>30.0   4   111.0      80.00      2155.      14.8   77  1	"buick opel isuzu deluxe"</t>
  </si>
  <si>
    <t>36.0   4   79.00      58.00      1825.      18.6   77  2	"renault 5 gtl"</t>
  </si>
  <si>
    <t>25.5   4   122.0      96.00      2300.      15.5   77  1	"plymouth arrow gs"</t>
  </si>
  <si>
    <t>33.5   4   85.00      70.00      1945.      16.8   77  3	"datsun f-10 hatchback"</t>
  </si>
  <si>
    <t>17.5   8   305.0      145.0      3880.      12.5   77  1	"chevrolet caprice classic"</t>
  </si>
  <si>
    <t>17.0   8   260.0      110.0      4060.      19.0   77  1	"oldsmobile cutlass supreme"</t>
  </si>
  <si>
    <t>15.5   8   318.0      145.0      4140.      13.7   77  1	"dodge monaco brougham"</t>
  </si>
  <si>
    <t>15.0   8   302.0      130.0      4295.      14.9   77  1	"mercury cougar brougham"</t>
  </si>
  <si>
    <t>17.5   6   250.0      110.0      3520.      16.4   77  1	"chevrolet concours"</t>
  </si>
  <si>
    <t>20.5   6   231.0      105.0      3425.      16.9   77  1	"buick skylark"</t>
  </si>
  <si>
    <t>19.0   6   225.0      100.0      3630.      17.7   77  1	"plymouth volare custom"</t>
  </si>
  <si>
    <t>18.5   6   250.0      98.00      3525.      19.0   77  1	"ford granada"</t>
  </si>
  <si>
    <t>16.0   8   400.0      180.0      4220.      11.1   77  1	"pontiac grand prix lj"</t>
  </si>
  <si>
    <t>15.5   8   350.0      170.0      4165.      11.4   77  1	"chevrolet monte carlo landau"</t>
  </si>
  <si>
    <t>15.5   8   400.0      190.0      4325.      12.2   77  1	"chrysler cordoba"</t>
  </si>
  <si>
    <t>16.0   8   351.0      149.0      4335.      14.5   77  1	"ford thunderbird"</t>
  </si>
  <si>
    <t>29.0   4   97.00      78.00      1940.      14.5   77  2	"volkswagen rabbit custom"</t>
  </si>
  <si>
    <t>24.5   4   151.0      88.00      2740.      16.0   77  1	"pontiac sunbird coupe"</t>
  </si>
  <si>
    <t>26.0   4   97.00      75.00      2265.      18.2   77  3	"toyota corolla liftback"</t>
  </si>
  <si>
    <t>25.5   4   140.0      89.00      2755.      15.8   77  1	"ford mustang ii 2+2"</t>
  </si>
  <si>
    <t>30.5   4   98.00      63.00      2051.      17.0   77  1	"chevrolet chevette"</t>
  </si>
  <si>
    <t>33.5   4   98.00      83.00      2075.      15.9   77  1	"dodge colt m/m"</t>
  </si>
  <si>
    <t>30.0   4   97.00      67.00      1985.      16.4   77  3	"subaru dl"</t>
  </si>
  <si>
    <t>30.5   4   97.00      78.00      2190.      14.1   77  2	"volkswagen dasher"</t>
  </si>
  <si>
    <t>22.0   6   146.0      97.00      2815.      14.5   77  3	"datsun 810"</t>
  </si>
  <si>
    <t>21.5   4   121.0      110.0      2600.      12.8   77  2	"bmw 320i"</t>
  </si>
  <si>
    <t>21.5   3   80.00      110.0      2720.      13.5   77  3	"mazda rx-4"</t>
  </si>
  <si>
    <t>43.1   4   90.00      48.00      1985.      21.5   78  2	"volkswagen rabbit custom diesel"</t>
  </si>
  <si>
    <t>36.1   4   98.00      66.00      1800.      14.4   78  1	"ford fiesta"</t>
  </si>
  <si>
    <t>32.8   4   78.00      52.00      1985.      19.4   78  3	"mazda glc deluxe"</t>
  </si>
  <si>
    <t>39.4   4   85.00      70.00      2070.      18.6   78  3	"datsun b210 gx"</t>
  </si>
  <si>
    <t>36.1   4   91.00      60.00      1800.      16.4   78  3	"honda civic cvcc"</t>
  </si>
  <si>
    <t>19.9   8   260.0      110.0      3365.      15.5   78  1	"oldsmobile cutlass salon brougham"</t>
  </si>
  <si>
    <t>19.4   8   318.0      140.0      3735.      13.2   78  1	"dodge diplomat"</t>
  </si>
  <si>
    <t>20.2   8   302.0      139.0      3570.      12.8   78  1	"mercury monarch ghia"</t>
  </si>
  <si>
    <t>19.2   6   231.0      105.0      3535.      19.2   78  1	"pontiac phoenix lj"</t>
  </si>
  <si>
    <t>20.5   6   200.0      95.00      3155.      18.2   78  1	"chevrolet malibu"</t>
  </si>
  <si>
    <t>20.2   6   200.0      85.00      2965.      15.8   78  1	"ford fairmont (auto)"</t>
  </si>
  <si>
    <t>25.1   4   140.0      88.00      2720.      15.4   78  1	"ford fairmont (man)"</t>
  </si>
  <si>
    <t>20.5   6   225.0      100.0      3430.      17.2   78  1	"plymouth volare"</t>
  </si>
  <si>
    <t>19.4   6   232.0      90.00      3210.      17.2   78  1	"amc concord"</t>
  </si>
  <si>
    <t>20.6   6   231.0      105.0      3380.      15.8   78  1	"buick century special"</t>
  </si>
  <si>
    <t>20.8   6   200.0      85.00      3070.      16.7   78  1	"mercury zephyr"</t>
  </si>
  <si>
    <t>18.6   6   225.0      110.0      3620.      18.7   78  1	"dodge aspen"</t>
  </si>
  <si>
    <t>18.1   6   258.0      120.0      3410.      15.1   78  1	"amc concord d/l"</t>
  </si>
  <si>
    <t>19.2   8   305.0      145.0      3425.      13.2   78  1	"chevrolet monte carlo landau"</t>
  </si>
  <si>
    <t>17.7   6   231.0      165.0      3445.      13.4   78  1	"buick regal sport coupe (turbo)"</t>
  </si>
  <si>
    <t>18.1   8   302.0      139.0      3205.      11.2   78  1	"ford futura"</t>
  </si>
  <si>
    <t>17.5   8   318.0      140.0      4080.      13.7   78  1	"dodge magnum xe"</t>
  </si>
  <si>
    <t>30.0   4   98.00      68.00      2155.      16.5   78  1	"chevrolet chevette"</t>
  </si>
  <si>
    <t>27.5   4   134.0      95.00      2560.      14.2   78  3	"toyota corona"</t>
  </si>
  <si>
    <t>27.2   4   119.0      97.00      2300.      14.7   78  3	"datsun 510"</t>
  </si>
  <si>
    <t>30.9   4   105.0      75.00      2230.      14.5   78  1	"dodge omni"</t>
  </si>
  <si>
    <t>21.1   4   134.0      95.00      2515.      14.8   78  3	"toyota celica gt liftback"</t>
  </si>
  <si>
    <t>23.2   4   156.0      105.0      2745.      16.7   78  1	"plymouth sapporo"</t>
  </si>
  <si>
    <t>23.8   4   151.0      85.00      2855.      17.6   78  1	"oldsmobile starfire sx"</t>
  </si>
  <si>
    <t>23.9   4   119.0      97.00      2405.      14.9   78  3	"datsun 200-sx"</t>
  </si>
  <si>
    <t>20.3   5   131.0      103.0      2830.      15.9   78  2	"audi 5000"</t>
  </si>
  <si>
    <t>17.0   6   163.0      125.0      3140.      13.6   78  2	"volvo 264gl"</t>
  </si>
  <si>
    <t>21.6   4   121.0      115.0      2795.      15.7   78  2	"saab 99gle"</t>
  </si>
  <si>
    <t>16.2   6   163.0      133.0      3410.      15.8   78  2	"peugeot 604sl"</t>
  </si>
  <si>
    <t>31.5   4   89.00      71.00      1990.      14.9   78  2	"volkswagen scirocco"</t>
  </si>
  <si>
    <t>29.5   4   98.00      68.00      2135.      16.6   78  3	"honda accord lx"</t>
  </si>
  <si>
    <t>21.5   6   231.0      115.0      3245.      15.4   79  1	"pontiac lemans v6"</t>
  </si>
  <si>
    <t>19.8   6   200.0      85.00      2990.      18.2   79  1	"mercury zephyr 6"</t>
  </si>
  <si>
    <t>22.3   4   140.0      88.00      2890.      17.3   79  1	"ford fairmont 4"</t>
  </si>
  <si>
    <t>20.2   6   232.0      90.00      3265.      18.2   79  1	"amc concord dl 6"</t>
  </si>
  <si>
    <t>20.6   6   225.0      110.0      3360.      16.6   79  1	"dodge aspen 6"</t>
  </si>
  <si>
    <t>17.0   8   305.0      130.0      3840.      15.4   79  1	"chevrolet caprice classic"</t>
  </si>
  <si>
    <t>17.6   8   302.0      129.0      3725.      13.4   79  1	"ford ltd landau"</t>
  </si>
  <si>
    <t>16.5   8   351.0      138.0      3955.      13.2   79  1	"mercury grand marquis"</t>
  </si>
  <si>
    <t>18.2   8   318.0      135.0      3830.      15.2   79  1	"dodge st. regis"</t>
  </si>
  <si>
    <t>16.9   8   350.0      155.0      4360.      14.9   79  1	"buick estate wagon (sw)"</t>
  </si>
  <si>
    <t>15.5   8   351.0      142.0      4054.      14.3   79  1	"ford country squire (sw)"</t>
  </si>
  <si>
    <t>19.2   8   267.0      125.0      3605.      15.0   79  1	"chevrolet malibu classic (sw)"</t>
  </si>
  <si>
    <t>18.5   8   360.0      150.0      3940.      13.0   79  1	"chrysler lebaron town @ country (sw)"</t>
  </si>
  <si>
    <t>31.9   4   89.00      71.00      1925.      14.0   79  2	"vw rabbit custom"</t>
  </si>
  <si>
    <t>34.1   4   86.00      65.00      1975.      15.2   79  3	"maxda glc deluxe"</t>
  </si>
  <si>
    <t>35.7   4   98.00      80.00      1915.      14.4   79  1	"dodge colt hatchback custom"</t>
  </si>
  <si>
    <t>27.4   4   121.0      80.00      2670.      15.0   79  1	"amc spirit dl"</t>
  </si>
  <si>
    <t>25.4   5   183.0      77.00      3530.      20.1   79  2	"mercedes benz 300d"</t>
  </si>
  <si>
    <t>23.0   8   350.0      125.0      3900.      17.4   79  1	"cadillac eldorado"</t>
  </si>
  <si>
    <t>27.2   4   141.0      71.00      3190.      24.8   79  2	"peugeot 504"</t>
  </si>
  <si>
    <t>23.9   8   260.0      90.00      3420.      22.2   79  1	"oldsmobile cutlass salon brougham"</t>
  </si>
  <si>
    <t>34.2   4   105.0      70.00      2200.      13.2   79  1	"plymouth horizon"</t>
  </si>
  <si>
    <t>34.5   4   105.0      70.00      2150.      14.9   79  1	"plymouth horizon tc3"</t>
  </si>
  <si>
    <t>31.8   4   85.00      65.00      2020.      19.2   79  3	"datsun 210"</t>
  </si>
  <si>
    <t>37.3   4   91.00      69.00      2130.      14.7   79  2	"fiat strada custom"</t>
  </si>
  <si>
    <t>28.4   4   151.0      90.00      2670.      16.0   79  1	"buick skylark limited"</t>
  </si>
  <si>
    <t>28.8   6   173.0      115.0      2595.      11.3   79  1	"chevrolet citation"</t>
  </si>
  <si>
    <t>26.8   6   173.0      115.0      2700.      12.9   79  1	"oldsmobile omega brougham"</t>
  </si>
  <si>
    <t>33.5   4   151.0      90.00      2556.      13.2   79  1	"pontiac phoenix"</t>
  </si>
  <si>
    <t>41.5   4   98.00      76.00      2144.      14.7   80  2	"vw rabbit"</t>
  </si>
  <si>
    <t>38.1   4   89.00      60.00      1968.      18.8   80  3	"toyota corolla tercel"</t>
  </si>
  <si>
    <t>32.1   4   98.00      70.00      2120.      15.5   80  1	"chevrolet chevette"</t>
  </si>
  <si>
    <t>37.2   4   86.00      65.00      2019.      16.4   80  3	"datsun 310"</t>
  </si>
  <si>
    <t>28.0   4   151.0      90.00      2678.      16.5   80  1	"chevrolet citation"</t>
  </si>
  <si>
    <t>26.4   4   140.0      88.00      2870.      18.1   80  1	"ford fairmont"</t>
  </si>
  <si>
    <t>24.3   4   151.0      90.00      3003.      20.1   80  1	"amc concord"</t>
  </si>
  <si>
    <t>19.1   6   225.0      90.00      3381.      18.7   80  1	"dodge aspen"</t>
  </si>
  <si>
    <t>34.3   4   97.00      78.00      2188.      15.8   80  2	"audi 4000"</t>
  </si>
  <si>
    <t>29.8   4   134.0      90.00      2711.      15.5   80  3	"toyota corona liftback"</t>
  </si>
  <si>
    <t>31.3   4   120.0      75.00      2542.      17.5   80  3	"mazda 626"</t>
  </si>
  <si>
    <t>37.0   4   119.0      92.00      2434.      15.0   80  3	"datsun 510 hatchback"</t>
  </si>
  <si>
    <t>32.2   4   108.0      75.00      2265.      15.2   80  3	"toyota corolla"</t>
  </si>
  <si>
    <t>46.6   4   86.00      65.00      2110.      17.9   80  3	"mazda glc"</t>
  </si>
  <si>
    <t>27.9   4   156.0      105.0      2800.      14.4   80  1	"dodge colt"</t>
  </si>
  <si>
    <t>40.8   4   85.00      65.00      2110.      19.2   80  3	"datsun 210"</t>
  </si>
  <si>
    <t>44.3   4   90.00      48.00      2085.      21.7   80  2	"vw rabbit c (diesel)"</t>
  </si>
  <si>
    <t>43.4   4   90.00      48.00      2335.      23.7   80  2	"vw dasher (diesel)"</t>
  </si>
  <si>
    <t>36.4   5   121.0      67.00      2950.      19.9   80  2	"audi 5000s (diesel)"</t>
  </si>
  <si>
    <t>30.0   4   146.0      67.00      3250.      21.8   80  2	"mercedes-benz 240d"</t>
  </si>
  <si>
    <t>44.6   4   91.00      67.00      1850.      13.8   80  3	"honda civic 1500 gl"</t>
  </si>
  <si>
    <t>40.9   4   85.00      ?          1835.      17.3   80  2	"renault lecar deluxe"</t>
  </si>
  <si>
    <t>33.8   4   97.00      67.00      2145.      18.0   80  3	"subaru dl"</t>
  </si>
  <si>
    <t>29.8   4   89.00      62.00      1845.      15.3   80  2	"vokswagen rabbit"</t>
  </si>
  <si>
    <t>32.7   6   168.0      132.0      2910.      11.4   80  3	"datsun 280-zx"</t>
  </si>
  <si>
    <t>23.7   3   70.00      100.0      2420.      12.5   80  3	"mazda rx-7 gs"</t>
  </si>
  <si>
    <t>35.0   4   122.0      88.00      2500.      15.1   80  2	"triumph tr7 coupe"</t>
  </si>
  <si>
    <t>23.6   4   140.0      ?          2905.      14.3   80  1	"ford mustang cobra"</t>
  </si>
  <si>
    <t>32.4   4   107.0      72.00      2290.      17.0   80  3	"honda accord"</t>
  </si>
  <si>
    <t>27.2   4   135.0      84.00      2490.      15.7   81  1	"plymouth reliant"</t>
  </si>
  <si>
    <t>26.6   4   151.0      84.00      2635.      16.4   81  1	"buick skylark"</t>
  </si>
  <si>
    <t>25.8   4   156.0      92.00      2620.      14.4   81  1	"dodge aries wagon (sw)"</t>
  </si>
  <si>
    <t>23.5   6   173.0      110.0      2725.      12.6   81  1	"chevrolet citation"</t>
  </si>
  <si>
    <t>30.0   4   135.0      84.00      2385.      12.9   81  1	"plymouth reliant"</t>
  </si>
  <si>
    <t>39.1   4   79.00      58.00      1755.      16.9   81  3	"toyota starlet"</t>
  </si>
  <si>
    <t>39.0   4   86.00      64.00      1875.      16.4   81  1	"plymouth champ"</t>
  </si>
  <si>
    <t>35.1   4   81.00      60.00      1760.      16.1   81  3	"honda civic 1300"</t>
  </si>
  <si>
    <t>32.3   4   97.00      67.00      2065.      17.8   81  3	"subaru"</t>
  </si>
  <si>
    <t>37.0   4   85.00      65.00      1975.      19.4   81  3	"datsun 210 mpg"</t>
  </si>
  <si>
    <t>37.7   4   89.00      62.00      2050.      17.3   81  3	"toyota tercel"</t>
  </si>
  <si>
    <t>34.1   4   91.00      68.00      1985.      16.0   81  3	"mazda glc 4"</t>
  </si>
  <si>
    <t>34.7   4   105.0      63.00      2215.      14.9   81  1	"plymouth horizon 4"</t>
  </si>
  <si>
    <t>34.4   4   98.00      65.00      2045.      16.2   81  1	"ford escort 4w"</t>
  </si>
  <si>
    <t>29.9   4   98.00      65.00      2380.      20.7   81  1	"ford escort 2h"</t>
  </si>
  <si>
    <t>33.0   4   105.0      74.00      2190.      14.2   81  2	"volkswagen jetta"</t>
  </si>
  <si>
    <t>34.5   4   100.0      ?          2320.      15.8   81  2	"renault 18i"</t>
  </si>
  <si>
    <t>33.7   4   107.0      75.00      2210.      14.4   81  3	"honda prelude"</t>
  </si>
  <si>
    <t>32.4   4   108.0      75.00      2350.      16.8   81  3	"toyota corolla"</t>
  </si>
  <si>
    <t>32.9   4   119.0      100.0      2615.      14.8   81  3	"datsun 200sx"</t>
  </si>
  <si>
    <t>31.6   4   120.0      74.00      2635.      18.3   81  3	"mazda 626"</t>
  </si>
  <si>
    <t>28.1   4   141.0      80.00      3230.      20.4   81  2	"peugeot 505s turbo diesel"</t>
  </si>
  <si>
    <t>30.7   6   145.0      76.00      3160.      19.6   81  2	"volvo diesel"</t>
  </si>
  <si>
    <t>25.4   6   168.0      116.0      2900.      12.6   81  3	"toyota cressida"</t>
  </si>
  <si>
    <t>24.2   6   146.0      120.0      2930.      13.8   81  3	"datsun 810 maxima"</t>
  </si>
  <si>
    <t>22.4   6   231.0      110.0      3415.      15.8   81  1	"buick century"</t>
  </si>
  <si>
    <t>26.6   8   350.0      105.0      3725.      19.0   81  1	"oldsmobile cutlass ls"</t>
  </si>
  <si>
    <t>20.2   6   200.0      88.00      3060.      17.1   81  1	"ford granada gl"</t>
  </si>
  <si>
    <t>17.6   6   225.0      85.00      3465.      16.6   81  1	"chrysler lebaron salon"</t>
  </si>
  <si>
    <t>28.0   4   112.0      88.00      2605.      19.6   82  1	"chevrolet cavalier"</t>
  </si>
  <si>
    <t>27.0   4   112.0      88.00      2640.      18.6   82  1	"chevrolet cavalier wagon"</t>
  </si>
  <si>
    <t>34.0   4   112.0      88.00      2395.      18.0   82  1	"chevrolet cavalier 2-door"</t>
  </si>
  <si>
    <t>31.0   4   112.0      85.00      2575.      16.2   82  1	"pontiac j2000 se hatchback"</t>
  </si>
  <si>
    <t>29.0   4   135.0      84.00      2525.      16.0   82  1	"dodge aries se"</t>
  </si>
  <si>
    <t>27.0   4   151.0      90.00      2735.      18.0   82  1	"pontiac phoenix"</t>
  </si>
  <si>
    <t>24.0   4   140.0      92.00      2865.      16.4   82  1	"ford fairmont futura"</t>
  </si>
  <si>
    <t>23.0   4   151.0      ?          3035.      20.5   82  1	"amc concord dl"</t>
  </si>
  <si>
    <t>36.0   4   105.0      74.00      1980.      15.3   82  2	"volkswagen rabbit l"</t>
  </si>
  <si>
    <t>37.0   4   91.00      68.00      2025.      18.2   82  3	"mazda glc custom l"</t>
  </si>
  <si>
    <t>31.0   4   91.00      68.00      1970.      17.6   82  3	"mazda glc custom"</t>
  </si>
  <si>
    <t>38.0   4   105.0      63.00      2125.      14.7   82  1	"plymouth horizon miser"</t>
  </si>
  <si>
    <t>36.0   4   98.00      70.00      2125.      17.3   82  1	"mercury lynx l"</t>
  </si>
  <si>
    <t>36.0   4   120.0      88.00      2160.      14.5   82  3	"nissan stanza xe"</t>
  </si>
  <si>
    <t>36.0   4   107.0      75.00      2205.      14.5   82  3	"honda accord"</t>
  </si>
  <si>
    <t>34.0   4   108.0      70.00      2245       16.9   82  3	"toyota corolla"</t>
  </si>
  <si>
    <t>38.0   4   91.00      67.00      1965.      15.0   82  3	"honda civic"</t>
  </si>
  <si>
    <t>32.0   4   91.00      67.00      1965.      15.7   82  3	"honda civic (auto)"</t>
  </si>
  <si>
    <t>38.0   4   91.00      67.00      1995.      16.2   82  3	"datsun 310 gx"</t>
  </si>
  <si>
    <t>25.0   6   181.0      110.0      2945.      16.4   82  1	"buick century limited"</t>
  </si>
  <si>
    <t>38.0   6   262.0      85.00      3015.      17.0   82  1	"oldsmobile cutlass ciera (diesel)"</t>
  </si>
  <si>
    <t>26.0   4   156.0      92.00      2585.      14.5   82  1	"chrysler lebaron medallion"</t>
  </si>
  <si>
    <t>22.0   6   232.0      112.0      2835       14.7   82  1	"ford granada l"</t>
  </si>
  <si>
    <t>32.0   4   144.0      96.00      2665.      13.9   82  3	"toyota celica gt"</t>
  </si>
  <si>
    <t>36.0   4   135.0      84.00      2370.      13.0   82  1	"dodge charger 2.2"</t>
  </si>
  <si>
    <t>27.0   4   151.0      90.00      2950.      17.3   82  1	"chevrolet camaro"</t>
  </si>
  <si>
    <t>27.0   4   140.0      86.00      2790.      15.6   82  1	"ford mustang gl"</t>
  </si>
  <si>
    <t>44.0   4   97.00      52.00      2130.      24.6   82  2	"vw pickup"</t>
  </si>
  <si>
    <t>32.0   4   135.0      84.00      2295.      11.6   82  1	"dodge rampage"</t>
  </si>
  <si>
    <t>28.0   4   120.0      79.00      2625.      18.6   82  1	"ford ranger"</t>
  </si>
  <si>
    <t>31.0   4   119.0      82.00      2720.      19.4   82  1	"chevy s-10"</t>
  </si>
  <si>
    <t>1	"chevrolet</t>
  </si>
  <si>
    <t>chevelle</t>
  </si>
  <si>
    <t>malibu"</t>
  </si>
  <si>
    <t>1	"buick</t>
  </si>
  <si>
    <t>skylark</t>
  </si>
  <si>
    <t>320"</t>
  </si>
  <si>
    <t>1	"plymouth</t>
  </si>
  <si>
    <t>satellite"</t>
  </si>
  <si>
    <t>1	"amc</t>
  </si>
  <si>
    <t>rebel</t>
  </si>
  <si>
    <t>sst"</t>
  </si>
  <si>
    <t>1	"ford</t>
  </si>
  <si>
    <t>torino"</t>
  </si>
  <si>
    <t>galaxie</t>
  </si>
  <si>
    <t>500"</t>
  </si>
  <si>
    <t>impala"</t>
  </si>
  <si>
    <t>fury</t>
  </si>
  <si>
    <t>iii"</t>
  </si>
  <si>
    <t>1	"pontiac</t>
  </si>
  <si>
    <t>catalina"</t>
  </si>
  <si>
    <t>ambassador</t>
  </si>
  <si>
    <t>dpl"</t>
  </si>
  <si>
    <t>1	"dodge</t>
  </si>
  <si>
    <t>challenger</t>
  </si>
  <si>
    <t>se"</t>
  </si>
  <si>
    <t>cuda</t>
  </si>
  <si>
    <t>340"</t>
  </si>
  <si>
    <t>monte</t>
  </si>
  <si>
    <t>carlo"</t>
  </si>
  <si>
    <t>estate</t>
  </si>
  <si>
    <t>wagon</t>
  </si>
  <si>
    <t>(sw)"</t>
  </si>
  <si>
    <t>3	"toyota</t>
  </si>
  <si>
    <t>corona</t>
  </si>
  <si>
    <t>mark</t>
  </si>
  <si>
    <t>ii"</t>
  </si>
  <si>
    <t>duster"</t>
  </si>
  <si>
    <t>hornet"</t>
  </si>
  <si>
    <t>maverick"</t>
  </si>
  <si>
    <t>3	"datsun</t>
  </si>
  <si>
    <t>pl510"</t>
  </si>
  <si>
    <t>2	"volkswagen</t>
  </si>
  <si>
    <t>deluxe</t>
  </si>
  <si>
    <t>sedan"</t>
  </si>
  <si>
    <t>2	"peugeot</t>
  </si>
  <si>
    <t>504"</t>
  </si>
  <si>
    <t>2	"audi</t>
  </si>
  <si>
    <t>ls"</t>
  </si>
  <si>
    <t>2	"saab</t>
  </si>
  <si>
    <t>99e"</t>
  </si>
  <si>
    <t>2	"bmw</t>
  </si>
  <si>
    <t>2002"</t>
  </si>
  <si>
    <t>gremlin"</t>
  </si>
  <si>
    <t>f250"</t>
  </si>
  <si>
    <t>1	"chevy</t>
  </si>
  <si>
    <t>c20"</t>
  </si>
  <si>
    <t>d200"</t>
  </si>
  <si>
    <t>1	"hi</t>
  </si>
  <si>
    <t>1200d"</t>
  </si>
  <si>
    <t>vega</t>
  </si>
  <si>
    <t>2300"</t>
  </si>
  <si>
    <t>corona"</t>
  </si>
  <si>
    <t>?</t>
  </si>
  <si>
    <t>pinto"</t>
  </si>
  <si>
    <t>satellite</t>
  </si>
  <si>
    <t>custom"</t>
  </si>
  <si>
    <t>torino</t>
  </si>
  <si>
    <t>matador"</t>
  </si>
  <si>
    <t>catalina</t>
  </si>
  <si>
    <t>brougham"</t>
  </si>
  <si>
    <t>monaco</t>
  </si>
  <si>
    <t>country</t>
  </si>
  <si>
    <t>squire</t>
  </si>
  <si>
    <t>safari</t>
  </si>
  <si>
    <t>hornet</t>
  </si>
  <si>
    <t>sportabout</t>
  </si>
  <si>
    <t>firebird"</t>
  </si>
  <si>
    <t>mustang"</t>
  </si>
  <si>
    <t>1	"mercury</t>
  </si>
  <si>
    <t>capri</t>
  </si>
  <si>
    <t>2000"</t>
  </si>
  <si>
    <t>2	"opel</t>
  </si>
  <si>
    <t>1900"</t>
  </si>
  <si>
    <t>304"</t>
  </si>
  <si>
    <t>2	"fiat</t>
  </si>
  <si>
    <t>124b"</t>
  </si>
  <si>
    <t>corolla</t>
  </si>
  <si>
    <t>1200"</t>
  </si>
  <si>
    <t>model</t>
  </si>
  <si>
    <t>111"</t>
  </si>
  <si>
    <t>cricket"</t>
  </si>
  <si>
    <t>hardtop"</t>
  </si>
  <si>
    <t>colt</t>
  </si>
  <si>
    <t>type</t>
  </si>
  <si>
    <t>3"</t>
  </si>
  <si>
    <t>vega"</t>
  </si>
  <si>
    <t>pinto</t>
  </si>
  <si>
    <t>runabout"</t>
  </si>
  <si>
    <t>marquis"</t>
  </si>
  <si>
    <t>lesabre</t>
  </si>
  <si>
    <t>1	"oldsmobile</t>
  </si>
  <si>
    <t>delta</t>
  </si>
  <si>
    <t>royale"</t>
  </si>
  <si>
    <t>1	"chrysler</t>
  </si>
  <si>
    <t>newport</t>
  </si>
  <si>
    <t>royal"</t>
  </si>
  <si>
    <t>3	"mazda</t>
  </si>
  <si>
    <t>rx2</t>
  </si>
  <si>
    <t>coupe"</t>
  </si>
  <si>
    <t>matador</t>
  </si>
  <si>
    <t>concours</t>
  </si>
  <si>
    <t>gran</t>
  </si>
  <si>
    <t>custom</t>
  </si>
  <si>
    <t>2	"volvo</t>
  </si>
  <si>
    <t>145e</t>
  </si>
  <si>
    <t>2	"renault</t>
  </si>
  <si>
    <t>3	"toyouta</t>
  </si>
  <si>
    <t>ii</t>
  </si>
  <si>
    <t>century</t>
  </si>
  <si>
    <t>350"</t>
  </si>
  <si>
    <t>coronet</t>
  </si>
  <si>
    <t>marquis</t>
  </si>
  <si>
    <t>caprice</t>
  </si>
  <si>
    <t>classic"</t>
  </si>
  <si>
    <t>ltd"</t>
  </si>
  <si>
    <t>new</t>
  </si>
  <si>
    <t>yorker</t>
  </si>
  <si>
    <t>electra</t>
  </si>
  <si>
    <t>valiant"</t>
  </si>
  <si>
    <t>nova</t>
  </si>
  <si>
    <t>super</t>
  </si>
  <si>
    <t>beetle"</t>
  </si>
  <si>
    <t>country"</t>
  </si>
  <si>
    <t>suburb"</t>
  </si>
  <si>
    <t>vista</t>
  </si>
  <si>
    <t>cruiser"</t>
  </si>
  <si>
    <t>carina"</t>
  </si>
  <si>
    <t>610"</t>
  </si>
  <si>
    <t>3	"maxda</t>
  </si>
  <si>
    <t>rx3"</t>
  </si>
  <si>
    <t>v6"</t>
  </si>
  <si>
    <t>sport</t>
  </si>
  <si>
    <t>carlo</t>
  </si>
  <si>
    <t>s"</t>
  </si>
  <si>
    <t>grand</t>
  </si>
  <si>
    <t>prix"</t>
  </si>
  <si>
    <t>128"</t>
  </si>
  <si>
    <t>manta"</t>
  </si>
  <si>
    <t>100ls"</t>
  </si>
  <si>
    <t>144ea"</t>
  </si>
  <si>
    <t>dart</t>
  </si>
  <si>
    <t>99le"</t>
  </si>
  <si>
    <t>omega"</t>
  </si>
  <si>
    <t>nova"</t>
  </si>
  <si>
    <t>b210"</t>
  </si>
  <si>
    <t>malibu</t>
  </si>
  <si>
    <t>sebring"</t>
  </si>
  <si>
    <t>luxus</t>
  </si>
  <si>
    <t>fox"</t>
  </si>
  <si>
    <t>dasher"</t>
  </si>
  <si>
    <t>710"</t>
  </si>
  <si>
    <t>colt"</t>
  </si>
  <si>
    <t>tc"</t>
  </si>
  <si>
    <t>3	"honda</t>
  </si>
  <si>
    <t>civic"</t>
  </si>
  <si>
    <t>3	"subaru"</t>
  </si>
  <si>
    <t>x1.9"</t>
  </si>
  <si>
    <t>valiant</t>
  </si>
  <si>
    <t>monarch"</t>
  </si>
  <si>
    <t>bel</t>
  </si>
  <si>
    <t>air"</t>
  </si>
  <si>
    <t>fury"</t>
  </si>
  <si>
    <t>century"</t>
  </si>
  <si>
    <t>1	"chevroelt</t>
  </si>
  <si>
    <t>skyhawk"</t>
  </si>
  <si>
    <t>monza</t>
  </si>
  <si>
    <t>2+2"</t>
  </si>
  <si>
    <t>mustang</t>
  </si>
  <si>
    <t>corolla"</t>
  </si>
  <si>
    <t>astro"</t>
  </si>
  <si>
    <t>rabbit"</t>
  </si>
  <si>
    <t>pacer"</t>
  </si>
  <si>
    <t>244dl"</t>
  </si>
  <si>
    <t>civic</t>
  </si>
  <si>
    <t>cvcc"</t>
  </si>
  <si>
    <t>131"</t>
  </si>
  <si>
    <t>1	"capri</t>
  </si>
  <si>
    <t>12tl"</t>
  </si>
  <si>
    <t>chevette"</t>
  </si>
  <si>
    <t>woody"</t>
  </si>
  <si>
    <t>2	"vw</t>
  </si>
  <si>
    <t>aspen</t>
  </si>
  <si>
    <t>granada</t>
  </si>
  <si>
    <t>ghia"</t>
  </si>
  <si>
    <t>ventura</t>
  </si>
  <si>
    <t>sj"</t>
  </si>
  <si>
    <t>pacer</t>
  </si>
  <si>
    <t>d/l"</t>
  </si>
  <si>
    <t>b-210"</t>
  </si>
  <si>
    <t>245"</t>
  </si>
  <si>
    <t>volare</t>
  </si>
  <si>
    <t>premier</t>
  </si>
  <si>
    <t>v8"</t>
  </si>
  <si>
    <t>2	"mercedes-benz</t>
  </si>
  <si>
    <t>280s"</t>
  </si>
  <si>
    <t>1	"cadillac</t>
  </si>
  <si>
    <t>seville"</t>
  </si>
  <si>
    <t>c10"</t>
  </si>
  <si>
    <t>f108"</t>
  </si>
  <si>
    <t>d100"</t>
  </si>
  <si>
    <t>accord</t>
  </si>
  <si>
    <t>opel</t>
  </si>
  <si>
    <t>isuzu</t>
  </si>
  <si>
    <t>deluxe"</t>
  </si>
  <si>
    <t>gtl"</t>
  </si>
  <si>
    <t>arrow</t>
  </si>
  <si>
    <t>gs"</t>
  </si>
  <si>
    <t>f-10</t>
  </si>
  <si>
    <t>hatchback"</t>
  </si>
  <si>
    <t>cutlass</t>
  </si>
  <si>
    <t>supreme"</t>
  </si>
  <si>
    <t>cougar</t>
  </si>
  <si>
    <t>concours"</t>
  </si>
  <si>
    <t>skylark"</t>
  </si>
  <si>
    <t>granada"</t>
  </si>
  <si>
    <t>prix</t>
  </si>
  <si>
    <t>lj"</t>
  </si>
  <si>
    <t>landau"</t>
  </si>
  <si>
    <t>cordoba"</t>
  </si>
  <si>
    <t>thunderbird"</t>
  </si>
  <si>
    <t>rabbit</t>
  </si>
  <si>
    <t>sunbird</t>
  </si>
  <si>
    <t>liftback"</t>
  </si>
  <si>
    <t>m/m"</t>
  </si>
  <si>
    <t>3	"subaru</t>
  </si>
  <si>
    <t>dl"</t>
  </si>
  <si>
    <t>810"</t>
  </si>
  <si>
    <t>320i"</t>
  </si>
  <si>
    <t>rx-4"</t>
  </si>
  <si>
    <t>diesel"</t>
  </si>
  <si>
    <t>fiesta"</t>
  </si>
  <si>
    <t>glc</t>
  </si>
  <si>
    <t>b210</t>
  </si>
  <si>
    <t>gx"</t>
  </si>
  <si>
    <t>salon</t>
  </si>
  <si>
    <t>diplomat"</t>
  </si>
  <si>
    <t>monarch</t>
  </si>
  <si>
    <t>phoenix</t>
  </si>
  <si>
    <t>fairmont</t>
  </si>
  <si>
    <t>(auto)"</t>
  </si>
  <si>
    <t>(man)"</t>
  </si>
  <si>
    <t>volare"</t>
  </si>
  <si>
    <t>concord"</t>
  </si>
  <si>
    <t>special"</t>
  </si>
  <si>
    <t>zephyr"</t>
  </si>
  <si>
    <t>aspen"</t>
  </si>
  <si>
    <t>concord</t>
  </si>
  <si>
    <t>regal</t>
  </si>
  <si>
    <t>coupe</t>
  </si>
  <si>
    <t>(turbo)"</t>
  </si>
  <si>
    <t>futura"</t>
  </si>
  <si>
    <t>magnum</t>
  </si>
  <si>
    <t>xe"</t>
  </si>
  <si>
    <t>510"</t>
  </si>
  <si>
    <t>omni"</t>
  </si>
  <si>
    <t>celica</t>
  </si>
  <si>
    <t>gt</t>
  </si>
  <si>
    <t>sapporo"</t>
  </si>
  <si>
    <t>starfire</t>
  </si>
  <si>
    <t>sx"</t>
  </si>
  <si>
    <t>200-sx"</t>
  </si>
  <si>
    <t>5000"</t>
  </si>
  <si>
    <t>264gl"</t>
  </si>
  <si>
    <t>99gle"</t>
  </si>
  <si>
    <t>604sl"</t>
  </si>
  <si>
    <t>scirocco"</t>
  </si>
  <si>
    <t>lx"</t>
  </si>
  <si>
    <t>lemans</t>
  </si>
  <si>
    <t>zephyr</t>
  </si>
  <si>
    <t>6"</t>
  </si>
  <si>
    <t>4"</t>
  </si>
  <si>
    <t>dl</t>
  </si>
  <si>
    <t>ltd</t>
  </si>
  <si>
    <t>st.</t>
  </si>
  <si>
    <t>regis"</t>
  </si>
  <si>
    <t>classic</t>
  </si>
  <si>
    <t>lebaron</t>
  </si>
  <si>
    <t>town</t>
  </si>
  <si>
    <t>@</t>
  </si>
  <si>
    <t>hatchback</t>
  </si>
  <si>
    <t>spirit</t>
  </si>
  <si>
    <t>2	"mercedes</t>
  </si>
  <si>
    <t>benz</t>
  </si>
  <si>
    <t>300d"</t>
  </si>
  <si>
    <t>eldorado"</t>
  </si>
  <si>
    <t>horizon"</t>
  </si>
  <si>
    <t>horizon</t>
  </si>
  <si>
    <t>tc3"</t>
  </si>
  <si>
    <t>210"</t>
  </si>
  <si>
    <t>strada</t>
  </si>
  <si>
    <t>limited"</t>
  </si>
  <si>
    <t>citation"</t>
  </si>
  <si>
    <t>omega</t>
  </si>
  <si>
    <t>phoenix"</t>
  </si>
  <si>
    <t>tercel"</t>
  </si>
  <si>
    <t>310"</t>
  </si>
  <si>
    <t>fairmont"</t>
  </si>
  <si>
    <t>4000"</t>
  </si>
  <si>
    <t>626"</t>
  </si>
  <si>
    <t>glc"</t>
  </si>
  <si>
    <t>c</t>
  </si>
  <si>
    <t>(diesel)"</t>
  </si>
  <si>
    <t>dasher</t>
  </si>
  <si>
    <t>5000s</t>
  </si>
  <si>
    <t>240d"</t>
  </si>
  <si>
    <t>gl"</t>
  </si>
  <si>
    <t>lecar</t>
  </si>
  <si>
    <t>2	"vokswagen</t>
  </si>
  <si>
    <t>280-zx"</t>
  </si>
  <si>
    <t>rx-7</t>
  </si>
  <si>
    <t>2	"triumph</t>
  </si>
  <si>
    <t>tr7</t>
  </si>
  <si>
    <t>cobra"</t>
  </si>
  <si>
    <t>accord"</t>
  </si>
  <si>
    <t>reliant"</t>
  </si>
  <si>
    <t>aries</t>
  </si>
  <si>
    <t>starlet"</t>
  </si>
  <si>
    <t>champ"</t>
  </si>
  <si>
    <t>1300"</t>
  </si>
  <si>
    <t>mpg"</t>
  </si>
  <si>
    <t>escort</t>
  </si>
  <si>
    <t>4w"</t>
  </si>
  <si>
    <t>2h"</t>
  </si>
  <si>
    <t>jetta"</t>
  </si>
  <si>
    <t>18i"</t>
  </si>
  <si>
    <t>prelude"</t>
  </si>
  <si>
    <t>200sx"</t>
  </si>
  <si>
    <t>505s</t>
  </si>
  <si>
    <t>turbo</t>
  </si>
  <si>
    <t>cressida"</t>
  </si>
  <si>
    <t>maxima"</t>
  </si>
  <si>
    <t>salon"</t>
  </si>
  <si>
    <t>cavalier"</t>
  </si>
  <si>
    <t>cavalier</t>
  </si>
  <si>
    <t>wagon"</t>
  </si>
  <si>
    <t>2-door"</t>
  </si>
  <si>
    <t>j2000</t>
  </si>
  <si>
    <t>se</t>
  </si>
  <si>
    <t>l"</t>
  </si>
  <si>
    <t>miser"</t>
  </si>
  <si>
    <t>lynx</t>
  </si>
  <si>
    <t>3	"nissan</t>
  </si>
  <si>
    <t>stanza</t>
  </si>
  <si>
    <t>ciera</t>
  </si>
  <si>
    <t>medallion"</t>
  </si>
  <si>
    <t>gt"</t>
  </si>
  <si>
    <t>charger</t>
  </si>
  <si>
    <t>2.2"</t>
  </si>
  <si>
    <t>camaro"</t>
  </si>
  <si>
    <t>pickup"</t>
  </si>
  <si>
    <t>rampage"</t>
  </si>
  <si>
    <t>ranger"</t>
  </si>
  <si>
    <t>s-10"</t>
  </si>
  <si>
    <t>Max</t>
    <phoneticPr fontId="1" type="noConversion"/>
  </si>
  <si>
    <t>Min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</si>
</sst>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11" fontId="0" fillId="0" borderId="0" xfId="0" applyNumberFormat="1">
      <alignment vertical="center"/>
    </xf>
    <xf numFmtId="0" fontId="0" fillId="0" borderId="0" xfId="0" quotePrefix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rchive.ics.uci.edu/ml/datasets/auto+m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M350"/>
  <sheetViews>
    <sheetView workbookViewId="0">
      <selection activeCell="K12" sqref="K12"/>
    </sheetView>
  </sheetViews>
  <sheetFormatPr defaultRowHeight="17.399999999999999"/>
  <sheetData>
    <row r="1" spans="1:1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>
        <f>AVERAGE(L2:L350)</f>
        <v>1.7269471454278946E-2</v>
      </c>
    </row>
    <row r="2" spans="1:13">
      <c r="A2">
        <v>0.19313304721030042</v>
      </c>
      <c r="B2">
        <v>0.625</v>
      </c>
      <c r="C2">
        <v>0.5252747252747253</v>
      </c>
      <c r="D2">
        <v>0.36521739130434783</v>
      </c>
      <c r="E2">
        <v>0.36789883268482493</v>
      </c>
      <c r="F2">
        <v>0.16129032258064516</v>
      </c>
      <c r="G2">
        <v>0</v>
      </c>
      <c r="H2">
        <v>1</v>
      </c>
      <c r="I2">
        <v>0</v>
      </c>
      <c r="J2">
        <v>0</v>
      </c>
      <c r="K2">
        <v>0.21639110880486206</v>
      </c>
      <c r="L2">
        <v>5.4093742913642346E-4</v>
      </c>
    </row>
    <row r="3" spans="1:13">
      <c r="A3">
        <v>0.12875536480686695</v>
      </c>
      <c r="B3">
        <v>0.625</v>
      </c>
      <c r="C3">
        <v>0.6197802197802198</v>
      </c>
      <c r="D3">
        <v>0.5173913043478261</v>
      </c>
      <c r="E3">
        <v>0.40466926070038911</v>
      </c>
      <c r="F3">
        <v>0.1411290322580645</v>
      </c>
      <c r="G3">
        <v>0</v>
      </c>
      <c r="H3">
        <v>1</v>
      </c>
      <c r="I3">
        <v>0</v>
      </c>
      <c r="J3">
        <v>0</v>
      </c>
      <c r="K3">
        <v>0.23517663994365673</v>
      </c>
      <c r="L3">
        <v>1.1325487801740312E-2</v>
      </c>
    </row>
    <row r="4" spans="1:13">
      <c r="A4">
        <v>0.19313304721030042</v>
      </c>
      <c r="B4">
        <v>0.625</v>
      </c>
      <c r="C4">
        <v>0.5494505494505495</v>
      </c>
      <c r="D4">
        <v>0.45217391304347826</v>
      </c>
      <c r="E4">
        <v>0.35466926070038912</v>
      </c>
      <c r="F4">
        <v>0.12096774193548386</v>
      </c>
      <c r="G4">
        <v>0</v>
      </c>
      <c r="H4">
        <v>1</v>
      </c>
      <c r="I4">
        <v>0</v>
      </c>
      <c r="J4">
        <v>0</v>
      </c>
      <c r="K4">
        <v>0.23066250287141443</v>
      </c>
      <c r="L4">
        <v>1.4084600422195226E-3</v>
      </c>
    </row>
    <row r="5" spans="1:13">
      <c r="A5">
        <v>0.15021459227467809</v>
      </c>
      <c r="B5">
        <v>0.625</v>
      </c>
      <c r="C5">
        <v>0.51868131868131873</v>
      </c>
      <c r="D5">
        <v>0.45217391304347826</v>
      </c>
      <c r="E5">
        <v>0.35408560311284049</v>
      </c>
      <c r="F5">
        <v>0.16129032258064516</v>
      </c>
      <c r="G5">
        <v>0</v>
      </c>
      <c r="H5">
        <v>1</v>
      </c>
      <c r="I5">
        <v>0</v>
      </c>
      <c r="J5">
        <v>0</v>
      </c>
      <c r="K5">
        <v>0.2337647483669375</v>
      </c>
      <c r="L5">
        <v>6.9806285830409124E-3</v>
      </c>
    </row>
    <row r="6" spans="1:13">
      <c r="A6">
        <v>0.17167381974248927</v>
      </c>
      <c r="B6">
        <v>0.625</v>
      </c>
      <c r="C6">
        <v>0.51428571428571423</v>
      </c>
      <c r="D6">
        <v>0.40869565217391307</v>
      </c>
      <c r="E6">
        <v>0.35719844357976654</v>
      </c>
      <c r="F6">
        <v>0.10080645161290322</v>
      </c>
      <c r="G6">
        <v>0</v>
      </c>
      <c r="H6">
        <v>1</v>
      </c>
      <c r="I6">
        <v>0</v>
      </c>
      <c r="J6">
        <v>0</v>
      </c>
      <c r="K6">
        <v>0.2242920304558168</v>
      </c>
      <c r="L6">
        <v>2.7686760986721367E-3</v>
      </c>
    </row>
    <row r="7" spans="1:13">
      <c r="A7">
        <v>0.12875536480686695</v>
      </c>
      <c r="B7">
        <v>0.625</v>
      </c>
      <c r="C7">
        <v>0.79340659340659336</v>
      </c>
      <c r="D7">
        <v>0.66086956521739126</v>
      </c>
      <c r="E7">
        <v>0.53073929961089494</v>
      </c>
      <c r="F7">
        <v>8.0645161290322578E-2</v>
      </c>
      <c r="G7">
        <v>0</v>
      </c>
      <c r="H7">
        <v>1</v>
      </c>
      <c r="I7">
        <v>0</v>
      </c>
      <c r="J7">
        <v>0</v>
      </c>
      <c r="K7">
        <v>0.23972306223337042</v>
      </c>
      <c r="L7">
        <v>1.2313829872140025E-2</v>
      </c>
    </row>
    <row r="8" spans="1:13">
      <c r="A8">
        <v>0.1072961373390558</v>
      </c>
      <c r="B8">
        <v>0.625</v>
      </c>
      <c r="C8">
        <v>0.84835164835164834</v>
      </c>
      <c r="D8">
        <v>0.75652173913043474</v>
      </c>
      <c r="E8">
        <v>0.53326848249027237</v>
      </c>
      <c r="F8">
        <v>4.0322580645161289E-2</v>
      </c>
      <c r="G8">
        <v>0</v>
      </c>
      <c r="H8">
        <v>1</v>
      </c>
      <c r="I8">
        <v>0</v>
      </c>
      <c r="J8">
        <v>0</v>
      </c>
      <c r="K8">
        <v>0.25240580389240319</v>
      </c>
      <c r="L8">
        <v>2.1056815327223668E-2</v>
      </c>
    </row>
    <row r="9" spans="1:13">
      <c r="A9">
        <v>0.1072961373390558</v>
      </c>
      <c r="B9">
        <v>0.625</v>
      </c>
      <c r="C9">
        <v>0.81758241758241756</v>
      </c>
      <c r="D9">
        <v>0.73478260869565215</v>
      </c>
      <c r="E9">
        <v>0.52509727626459146</v>
      </c>
      <c r="F9">
        <v>2.0161290322580645E-2</v>
      </c>
      <c r="G9">
        <v>0</v>
      </c>
      <c r="H9">
        <v>1</v>
      </c>
      <c r="I9">
        <v>0</v>
      </c>
      <c r="J9">
        <v>0</v>
      </c>
      <c r="K9">
        <v>0.25040232645791516</v>
      </c>
      <c r="L9">
        <v>2.047938136412274E-2</v>
      </c>
    </row>
    <row r="10" spans="1:13">
      <c r="A10">
        <v>0.1072961373390558</v>
      </c>
      <c r="B10">
        <v>0.625</v>
      </c>
      <c r="C10">
        <v>0.85054945054945053</v>
      </c>
      <c r="D10">
        <v>0.77826086956521734</v>
      </c>
      <c r="E10">
        <v>0.54708171206225686</v>
      </c>
      <c r="F10">
        <v>8.0645161290322578E-2</v>
      </c>
      <c r="G10">
        <v>0</v>
      </c>
      <c r="H10">
        <v>1</v>
      </c>
      <c r="I10">
        <v>0</v>
      </c>
      <c r="J10">
        <v>0</v>
      </c>
      <c r="K10">
        <v>0.25594178289164149</v>
      </c>
      <c r="L10">
        <v>2.2095527941744939E-2</v>
      </c>
    </row>
    <row r="11" spans="1:13">
      <c r="A11">
        <v>0.12875536480686695</v>
      </c>
      <c r="B11">
        <v>0.625</v>
      </c>
      <c r="C11">
        <v>0.70769230769230773</v>
      </c>
      <c r="D11">
        <v>0.62608695652173918</v>
      </c>
      <c r="E11">
        <v>0.43521400778210118</v>
      </c>
      <c r="F11">
        <v>2.0161290322580645E-2</v>
      </c>
      <c r="G11">
        <v>0</v>
      </c>
      <c r="H11">
        <v>1</v>
      </c>
      <c r="I11">
        <v>0</v>
      </c>
      <c r="J11">
        <v>0</v>
      </c>
      <c r="K11">
        <v>0.24341161481540735</v>
      </c>
      <c r="L11">
        <v>1.3146055666020921E-2</v>
      </c>
    </row>
    <row r="12" spans="1:13">
      <c r="A12">
        <v>0.12875536480686695</v>
      </c>
      <c r="B12">
        <v>0.625</v>
      </c>
      <c r="C12">
        <v>0.69230769230769229</v>
      </c>
      <c r="D12">
        <v>0.53913043478260869</v>
      </c>
      <c r="E12">
        <v>0.37937743190661477</v>
      </c>
      <c r="F12">
        <v>8.0645161290322578E-2</v>
      </c>
      <c r="G12">
        <v>0</v>
      </c>
      <c r="H12">
        <v>1</v>
      </c>
      <c r="I12">
        <v>0</v>
      </c>
      <c r="J12">
        <v>0</v>
      </c>
      <c r="K12">
        <v>0.23321675906728839</v>
      </c>
      <c r="L12">
        <v>1.091218289083121E-2</v>
      </c>
    </row>
    <row r="13" spans="1:13">
      <c r="A13">
        <v>0.1072961373390558</v>
      </c>
      <c r="B13">
        <v>0.625</v>
      </c>
      <c r="C13">
        <v>0.59780219780219779</v>
      </c>
      <c r="D13">
        <v>0.4956521739130435</v>
      </c>
      <c r="E13">
        <v>0.38832684824902725</v>
      </c>
      <c r="F13">
        <v>0</v>
      </c>
      <c r="G13">
        <v>0</v>
      </c>
      <c r="H13">
        <v>1</v>
      </c>
      <c r="I13">
        <v>0</v>
      </c>
      <c r="J13">
        <v>0</v>
      </c>
      <c r="K13">
        <v>0.22924713291666721</v>
      </c>
      <c r="L13">
        <v>1.4872045322370598E-2</v>
      </c>
    </row>
    <row r="14" spans="1:13">
      <c r="A14">
        <v>0.12875536480686695</v>
      </c>
      <c r="B14">
        <v>0.625</v>
      </c>
      <c r="C14">
        <v>0.72967032967032963</v>
      </c>
      <c r="D14">
        <v>0.45217391304347826</v>
      </c>
      <c r="E14">
        <v>0.41789883268482492</v>
      </c>
      <c r="F14">
        <v>6.048387096774193E-2</v>
      </c>
      <c r="G14">
        <v>0</v>
      </c>
      <c r="H14">
        <v>1</v>
      </c>
      <c r="I14">
        <v>0</v>
      </c>
      <c r="J14">
        <v>0</v>
      </c>
      <c r="K14">
        <v>0.21114928772010239</v>
      </c>
      <c r="L14">
        <v>6.7887585330321841E-3</v>
      </c>
    </row>
    <row r="15" spans="1:13">
      <c r="A15">
        <v>0.1072961373390558</v>
      </c>
      <c r="B15">
        <v>0.625</v>
      </c>
      <c r="C15">
        <v>0.85054945054945053</v>
      </c>
      <c r="D15">
        <v>0.77826086956521734</v>
      </c>
      <c r="E15">
        <v>0.2865758754863813</v>
      </c>
      <c r="F15">
        <v>8.0645161290322578E-2</v>
      </c>
      <c r="G15">
        <v>0</v>
      </c>
      <c r="H15">
        <v>1</v>
      </c>
      <c r="I15">
        <v>0</v>
      </c>
      <c r="J15">
        <v>0</v>
      </c>
      <c r="K15">
        <v>0.27216731751832074</v>
      </c>
      <c r="L15">
        <v>2.7182506053703644E-2</v>
      </c>
    </row>
    <row r="16" spans="1:13">
      <c r="A16">
        <v>0.32188841201716739</v>
      </c>
      <c r="B16">
        <v>0.125</v>
      </c>
      <c r="C16">
        <v>9.8901098901098897E-2</v>
      </c>
      <c r="D16">
        <v>0.21304347826086956</v>
      </c>
      <c r="E16">
        <v>0.14766536964980545</v>
      </c>
      <c r="F16">
        <v>0.282258064516129</v>
      </c>
      <c r="G16">
        <v>0</v>
      </c>
      <c r="H16">
        <v>0</v>
      </c>
      <c r="I16">
        <v>0</v>
      </c>
      <c r="J16">
        <v>1</v>
      </c>
      <c r="K16">
        <v>0.32768275218649717</v>
      </c>
      <c r="L16">
        <v>3.3574377997908677E-5</v>
      </c>
    </row>
    <row r="17" spans="1:12">
      <c r="A17">
        <v>0.27896995708154504</v>
      </c>
      <c r="B17">
        <v>0.375</v>
      </c>
      <c r="C17">
        <v>0.2857142857142857</v>
      </c>
      <c r="D17">
        <v>0.21304347826086956</v>
      </c>
      <c r="E17">
        <v>0.23735408560311283</v>
      </c>
      <c r="F17">
        <v>0.30241935483870969</v>
      </c>
      <c r="G17">
        <v>0</v>
      </c>
      <c r="H17">
        <v>1</v>
      </c>
      <c r="I17">
        <v>0</v>
      </c>
      <c r="J17">
        <v>0</v>
      </c>
      <c r="K17">
        <v>0.25904105853391846</v>
      </c>
      <c r="L17">
        <v>3.9716099732159296E-4</v>
      </c>
    </row>
    <row r="18" spans="1:12">
      <c r="A18">
        <v>0.19313304721030042</v>
      </c>
      <c r="B18">
        <v>0.375</v>
      </c>
      <c r="C18">
        <v>0.28791208791208789</v>
      </c>
      <c r="D18">
        <v>0.22173913043478261</v>
      </c>
      <c r="E18">
        <v>0.22587548638132296</v>
      </c>
      <c r="F18">
        <v>0.30241935483870969</v>
      </c>
      <c r="G18">
        <v>0</v>
      </c>
      <c r="H18">
        <v>1</v>
      </c>
      <c r="I18">
        <v>0</v>
      </c>
      <c r="J18">
        <v>0</v>
      </c>
      <c r="K18">
        <v>0.26126726087036156</v>
      </c>
      <c r="L18">
        <v>4.6422710710748629E-3</v>
      </c>
    </row>
    <row r="19" spans="1:12">
      <c r="A19">
        <v>0.25751072961373389</v>
      </c>
      <c r="B19">
        <v>0.375</v>
      </c>
      <c r="C19">
        <v>0.29010989010989013</v>
      </c>
      <c r="D19">
        <v>0.16956521739130434</v>
      </c>
      <c r="E19">
        <v>0.18949416342412451</v>
      </c>
      <c r="F19">
        <v>0.32258064516129031</v>
      </c>
      <c r="G19">
        <v>0</v>
      </c>
      <c r="H19">
        <v>1</v>
      </c>
      <c r="I19">
        <v>0</v>
      </c>
      <c r="J19">
        <v>0</v>
      </c>
      <c r="K19">
        <v>0.25418488685153817</v>
      </c>
      <c r="L19">
        <v>1.1061230078849649E-5</v>
      </c>
    </row>
    <row r="20" spans="1:12">
      <c r="A20">
        <v>0.38626609442060084</v>
      </c>
      <c r="B20">
        <v>0.125</v>
      </c>
      <c r="C20">
        <v>6.3736263736263732E-2</v>
      </c>
      <c r="D20">
        <v>0.18260869565217391</v>
      </c>
      <c r="E20">
        <v>0.10058365758754864</v>
      </c>
      <c r="F20">
        <v>0.26209677419354838</v>
      </c>
      <c r="G20">
        <v>0</v>
      </c>
      <c r="H20">
        <v>0</v>
      </c>
      <c r="I20">
        <v>0</v>
      </c>
      <c r="J20">
        <v>1</v>
      </c>
      <c r="K20">
        <v>0.32742710393731173</v>
      </c>
      <c r="L20">
        <v>3.4620268010925864E-3</v>
      </c>
    </row>
    <row r="21" spans="1:12">
      <c r="A21">
        <v>0.36480686695278969</v>
      </c>
      <c r="B21">
        <v>0.125</v>
      </c>
      <c r="C21">
        <v>6.3736263736263732E-2</v>
      </c>
      <c r="D21">
        <v>0</v>
      </c>
      <c r="E21">
        <v>4.3190661478599221E-2</v>
      </c>
      <c r="F21">
        <v>0.50403225806451613</v>
      </c>
      <c r="G21">
        <v>0</v>
      </c>
      <c r="H21">
        <v>0</v>
      </c>
      <c r="I21">
        <v>1</v>
      </c>
      <c r="J21">
        <v>0</v>
      </c>
      <c r="K21">
        <v>0.32618636546362739</v>
      </c>
      <c r="L21">
        <v>1.4915431352743871E-3</v>
      </c>
    </row>
    <row r="22" spans="1:12">
      <c r="A22">
        <v>0.34334763948497854</v>
      </c>
      <c r="B22">
        <v>0.125</v>
      </c>
      <c r="C22">
        <v>9.2307692307692313E-2</v>
      </c>
      <c r="D22">
        <v>0.17826086956521739</v>
      </c>
      <c r="E22">
        <v>0.20603112840466925</v>
      </c>
      <c r="F22">
        <v>0.38306451612903225</v>
      </c>
      <c r="G22">
        <v>0</v>
      </c>
      <c r="H22">
        <v>0</v>
      </c>
      <c r="I22">
        <v>1</v>
      </c>
      <c r="J22">
        <v>0</v>
      </c>
      <c r="K22">
        <v>0.32398037929239787</v>
      </c>
      <c r="L22">
        <v>3.750907673671199E-4</v>
      </c>
    </row>
    <row r="23" spans="1:12">
      <c r="A23">
        <v>0.32188841201716739</v>
      </c>
      <c r="B23">
        <v>0.125</v>
      </c>
      <c r="C23">
        <v>8.5714285714285715E-2</v>
      </c>
      <c r="D23">
        <v>0.19130434782608696</v>
      </c>
      <c r="E23">
        <v>0.15894941634241244</v>
      </c>
      <c r="F23">
        <v>0.26209677419354838</v>
      </c>
      <c r="G23">
        <v>0</v>
      </c>
      <c r="H23">
        <v>0</v>
      </c>
      <c r="I23">
        <v>1</v>
      </c>
      <c r="J23">
        <v>0</v>
      </c>
      <c r="K23">
        <v>0.32093469711972317</v>
      </c>
      <c r="L23">
        <v>9.0957210560704752E-7</v>
      </c>
    </row>
    <row r="24" spans="1:12">
      <c r="A24">
        <v>0.34334763948497854</v>
      </c>
      <c r="B24">
        <v>0.125</v>
      </c>
      <c r="C24">
        <v>7.9120879120879117E-2</v>
      </c>
      <c r="D24">
        <v>0.21304347826086956</v>
      </c>
      <c r="E24">
        <v>0.14824902723735409</v>
      </c>
      <c r="F24">
        <v>0.38306451612903225</v>
      </c>
      <c r="G24">
        <v>0</v>
      </c>
      <c r="H24">
        <v>0</v>
      </c>
      <c r="I24">
        <v>1</v>
      </c>
      <c r="J24">
        <v>0</v>
      </c>
      <c r="K24">
        <v>0.32267618363815326</v>
      </c>
      <c r="L24">
        <v>4.2730908682724712E-4</v>
      </c>
    </row>
    <row r="25" spans="1:12">
      <c r="A25">
        <v>0.36480686695278969</v>
      </c>
      <c r="B25">
        <v>0.125</v>
      </c>
      <c r="C25">
        <v>0.11648351648351649</v>
      </c>
      <c r="D25">
        <v>0.29130434782608694</v>
      </c>
      <c r="E25">
        <v>0.12081712062256809</v>
      </c>
      <c r="F25">
        <v>0.18145161290322581</v>
      </c>
      <c r="G25">
        <v>0</v>
      </c>
      <c r="H25">
        <v>0</v>
      </c>
      <c r="I25">
        <v>1</v>
      </c>
      <c r="J25">
        <v>0</v>
      </c>
      <c r="K25">
        <v>0.31715183202553776</v>
      </c>
      <c r="L25">
        <v>2.2710023539176012E-3</v>
      </c>
    </row>
    <row r="26" spans="1:12">
      <c r="A26">
        <v>0.25751072961373389</v>
      </c>
      <c r="B26">
        <v>0.375</v>
      </c>
      <c r="C26">
        <v>0.28791208791208789</v>
      </c>
      <c r="D26">
        <v>0.19130434782608696</v>
      </c>
      <c r="E26">
        <v>0.20136186770428016</v>
      </c>
      <c r="F26">
        <v>0.282258064516129</v>
      </c>
      <c r="G26">
        <v>0</v>
      </c>
      <c r="H26">
        <v>1</v>
      </c>
      <c r="I26">
        <v>0</v>
      </c>
      <c r="J26">
        <v>0</v>
      </c>
      <c r="K26">
        <v>0.25678513040567436</v>
      </c>
      <c r="L26">
        <v>5.2649421073662477E-7</v>
      </c>
    </row>
    <row r="27" spans="1:12">
      <c r="A27">
        <v>2.1459227467811159E-2</v>
      </c>
      <c r="B27">
        <v>0.625</v>
      </c>
      <c r="C27">
        <v>0.64175824175824181</v>
      </c>
      <c r="D27">
        <v>0.73478260869565215</v>
      </c>
      <c r="E27">
        <v>0.58404669260700393</v>
      </c>
      <c r="F27">
        <v>0.24193548387096772</v>
      </c>
      <c r="G27">
        <v>0</v>
      </c>
      <c r="H27">
        <v>1</v>
      </c>
      <c r="I27">
        <v>0</v>
      </c>
      <c r="J27">
        <v>0</v>
      </c>
      <c r="K27">
        <v>0.26313333397540717</v>
      </c>
      <c r="L27">
        <v>5.8406373756244863E-2</v>
      </c>
    </row>
    <row r="28" spans="1:12">
      <c r="A28">
        <v>2.1459227467811159E-2</v>
      </c>
      <c r="B28">
        <v>0.625</v>
      </c>
      <c r="C28">
        <v>0.5252747252747253</v>
      </c>
      <c r="D28">
        <v>0.66956521739130437</v>
      </c>
      <c r="E28">
        <v>0.5375486381322957</v>
      </c>
      <c r="F28">
        <v>0.282258064516129</v>
      </c>
      <c r="G28">
        <v>0</v>
      </c>
      <c r="H28">
        <v>1</v>
      </c>
      <c r="I28">
        <v>0</v>
      </c>
      <c r="J28">
        <v>0</v>
      </c>
      <c r="K28">
        <v>0.26295123903051926</v>
      </c>
      <c r="L28">
        <v>5.8318391648603148E-2</v>
      </c>
    </row>
    <row r="29" spans="1:12">
      <c r="A29">
        <v>4.2918454935622317E-2</v>
      </c>
      <c r="B29">
        <v>0.625</v>
      </c>
      <c r="C29">
        <v>0.5494505494505495</v>
      </c>
      <c r="D29">
        <v>0.71304347826086956</v>
      </c>
      <c r="E29">
        <v>0.53871595330739297</v>
      </c>
      <c r="F29">
        <v>0.22177419354838709</v>
      </c>
      <c r="G29">
        <v>0</v>
      </c>
      <c r="H29">
        <v>1</v>
      </c>
      <c r="I29">
        <v>0</v>
      </c>
      <c r="J29">
        <v>0</v>
      </c>
      <c r="K29">
        <v>0.26756507108953725</v>
      </c>
      <c r="L29">
        <v>5.046610214940439E-2</v>
      </c>
    </row>
    <row r="30" spans="1:12">
      <c r="A30">
        <v>0</v>
      </c>
      <c r="B30">
        <v>0.625</v>
      </c>
      <c r="C30">
        <v>0.51868131868131873</v>
      </c>
      <c r="D30">
        <v>0.63913043478260867</v>
      </c>
      <c r="E30">
        <v>0.60680933852140073</v>
      </c>
      <c r="F30">
        <v>0.42338709677419356</v>
      </c>
      <c r="G30">
        <v>0</v>
      </c>
      <c r="H30">
        <v>1</v>
      </c>
      <c r="I30">
        <v>0</v>
      </c>
      <c r="J30">
        <v>0</v>
      </c>
      <c r="K30">
        <v>0.25600169936455125</v>
      </c>
      <c r="L30">
        <v>6.5536870077538084E-2</v>
      </c>
    </row>
    <row r="31" spans="1:12">
      <c r="A31">
        <v>0.38626609442060084</v>
      </c>
      <c r="B31">
        <v>0.125</v>
      </c>
      <c r="C31">
        <v>6.3736263736263732E-2</v>
      </c>
      <c r="D31">
        <v>0.18260869565217391</v>
      </c>
      <c r="E31">
        <v>0.10058365758754864</v>
      </c>
      <c r="F31">
        <v>0.26209677419354838</v>
      </c>
      <c r="G31">
        <v>1.2195121951219513E-2</v>
      </c>
      <c r="H31">
        <v>0</v>
      </c>
      <c r="I31">
        <v>0</v>
      </c>
      <c r="J31">
        <v>1</v>
      </c>
      <c r="K31">
        <v>0.32684683480813337</v>
      </c>
      <c r="L31">
        <v>3.5306484128938076E-3</v>
      </c>
    </row>
    <row r="32" spans="1:12">
      <c r="A32">
        <v>0.40772532188841198</v>
      </c>
      <c r="B32">
        <v>0.125</v>
      </c>
      <c r="C32">
        <v>0.15824175824175823</v>
      </c>
      <c r="D32">
        <v>0.19130434782608696</v>
      </c>
      <c r="E32">
        <v>0.12665369649805447</v>
      </c>
      <c r="F32">
        <v>0.30241935483870969</v>
      </c>
      <c r="G32">
        <v>1.2195121951219513E-2</v>
      </c>
      <c r="H32">
        <v>1</v>
      </c>
      <c r="I32">
        <v>0</v>
      </c>
      <c r="J32">
        <v>0</v>
      </c>
      <c r="K32">
        <v>0.31432979752236612</v>
      </c>
      <c r="L32">
        <v>8.7227239716086667E-3</v>
      </c>
    </row>
    <row r="33" spans="1:12">
      <c r="A33">
        <v>0.34334763948497854</v>
      </c>
      <c r="B33">
        <v>0.125</v>
      </c>
      <c r="C33">
        <v>9.8901098901098897E-2</v>
      </c>
      <c r="D33">
        <v>0.21304347826086956</v>
      </c>
      <c r="E33">
        <v>0.11964980544747082</v>
      </c>
      <c r="F33">
        <v>0.24193548387096772</v>
      </c>
      <c r="G33">
        <v>1.2195121951219513E-2</v>
      </c>
      <c r="H33">
        <v>0</v>
      </c>
      <c r="I33">
        <v>0</v>
      </c>
      <c r="J33">
        <v>1</v>
      </c>
      <c r="K33">
        <v>0.32700392546549223</v>
      </c>
      <c r="L33">
        <v>2.671169879507534E-4</v>
      </c>
    </row>
    <row r="34" spans="1:12">
      <c r="A34">
        <v>0.21459227467811159</v>
      </c>
      <c r="B34">
        <v>0.375</v>
      </c>
      <c r="C34">
        <v>0.36043956043956044</v>
      </c>
      <c r="D34">
        <v>0.23478260869565218</v>
      </c>
      <c r="E34">
        <v>0.19863813229571983</v>
      </c>
      <c r="F34">
        <v>0.20161290322580644</v>
      </c>
      <c r="G34">
        <v>1.2195121951219513E-2</v>
      </c>
      <c r="H34">
        <v>1</v>
      </c>
      <c r="I34">
        <v>0</v>
      </c>
      <c r="J34">
        <v>0</v>
      </c>
      <c r="K34">
        <v>0.25724872283715094</v>
      </c>
      <c r="L34">
        <v>1.8195725695448117E-3</v>
      </c>
    </row>
    <row r="35" spans="1:12">
      <c r="A35">
        <v>0.15021459227467809</v>
      </c>
      <c r="B35">
        <v>0.375</v>
      </c>
      <c r="C35">
        <v>0.34505494505494505</v>
      </c>
      <c r="D35">
        <v>0.2565217391304348</v>
      </c>
      <c r="E35">
        <v>0.35525291828793776</v>
      </c>
      <c r="F35">
        <v>0.30241935483870969</v>
      </c>
      <c r="G35">
        <v>1.2195121951219513E-2</v>
      </c>
      <c r="H35">
        <v>1</v>
      </c>
      <c r="I35">
        <v>0</v>
      </c>
      <c r="J35">
        <v>0</v>
      </c>
      <c r="K35">
        <v>0.25446813385442135</v>
      </c>
      <c r="L35">
        <v>1.0868800931919257E-2</v>
      </c>
    </row>
    <row r="36" spans="1:12">
      <c r="A36">
        <v>0.17167381974248927</v>
      </c>
      <c r="B36">
        <v>0.375</v>
      </c>
      <c r="C36">
        <v>0.4</v>
      </c>
      <c r="D36">
        <v>0.23478260869565218</v>
      </c>
      <c r="E36">
        <v>0.33385214007782099</v>
      </c>
      <c r="F36">
        <v>0.30241935483870969</v>
      </c>
      <c r="G36">
        <v>1.2195121951219513E-2</v>
      </c>
      <c r="H36">
        <v>1</v>
      </c>
      <c r="I36">
        <v>0</v>
      </c>
      <c r="J36">
        <v>0</v>
      </c>
      <c r="K36">
        <v>0.24781577884070491</v>
      </c>
      <c r="L36">
        <v>5.7975979353143432E-3</v>
      </c>
    </row>
    <row r="37" spans="1:12">
      <c r="A37">
        <v>0.21459227467811159</v>
      </c>
      <c r="B37">
        <v>0.375</v>
      </c>
      <c r="C37">
        <v>0.4</v>
      </c>
      <c r="D37">
        <v>0.18260869565217391</v>
      </c>
      <c r="E37">
        <v>0.32859922178988327</v>
      </c>
      <c r="F37">
        <v>0.30241935483870969</v>
      </c>
      <c r="G37">
        <v>1.2195121951219513E-2</v>
      </c>
      <c r="H37">
        <v>1</v>
      </c>
      <c r="I37">
        <v>0</v>
      </c>
      <c r="J37">
        <v>0</v>
      </c>
      <c r="K37">
        <v>0.23838667198917268</v>
      </c>
      <c r="L37">
        <v>5.6617334339663112E-4</v>
      </c>
    </row>
    <row r="38" spans="1:12">
      <c r="A38">
        <v>0.19313304721030042</v>
      </c>
      <c r="B38">
        <v>0.375</v>
      </c>
      <c r="C38">
        <v>0.36043956043956044</v>
      </c>
      <c r="D38">
        <v>0.23478260869565218</v>
      </c>
      <c r="E38">
        <v>0.32587548638132297</v>
      </c>
      <c r="F38">
        <v>0.30241935483870969</v>
      </c>
      <c r="G38">
        <v>1.2195121951219513E-2</v>
      </c>
      <c r="H38">
        <v>1</v>
      </c>
      <c r="I38">
        <v>0</v>
      </c>
      <c r="J38">
        <v>0</v>
      </c>
      <c r="K38">
        <v>0.25106301094673911</v>
      </c>
      <c r="L38">
        <v>3.3558806985051017E-3</v>
      </c>
    </row>
    <row r="39" spans="1:12">
      <c r="A39">
        <v>0.1072961373390558</v>
      </c>
      <c r="B39">
        <v>0.625</v>
      </c>
      <c r="C39">
        <v>0.6197802197802198</v>
      </c>
      <c r="D39">
        <v>0.5173913043478261</v>
      </c>
      <c r="E39">
        <v>0.50505836575875485</v>
      </c>
      <c r="F39">
        <v>0.16129032258064516</v>
      </c>
      <c r="G39">
        <v>1.2195121951219513E-2</v>
      </c>
      <c r="H39">
        <v>1</v>
      </c>
      <c r="I39">
        <v>0</v>
      </c>
      <c r="J39">
        <v>0</v>
      </c>
      <c r="K39">
        <v>0.22628106612547461</v>
      </c>
      <c r="L39">
        <v>1.4157413278309156E-2</v>
      </c>
    </row>
    <row r="40" spans="1:12">
      <c r="A40">
        <v>0.1072961373390558</v>
      </c>
      <c r="B40">
        <v>0.625</v>
      </c>
      <c r="C40">
        <v>0.72967032967032963</v>
      </c>
      <c r="D40">
        <v>0.56086956521739129</v>
      </c>
      <c r="E40">
        <v>0.55466926070038913</v>
      </c>
      <c r="F40">
        <v>0.1411290322580645</v>
      </c>
      <c r="G40">
        <v>1.2195121951219513E-2</v>
      </c>
      <c r="H40">
        <v>1</v>
      </c>
      <c r="I40">
        <v>0</v>
      </c>
      <c r="J40">
        <v>0</v>
      </c>
      <c r="K40">
        <v>0.22268500715801282</v>
      </c>
      <c r="L40">
        <v>1.331459127809621E-2</v>
      </c>
    </row>
    <row r="41" spans="1:12">
      <c r="A41">
        <v>0.1072961373390558</v>
      </c>
      <c r="B41">
        <v>0.625</v>
      </c>
      <c r="C41">
        <v>0.62197802197802199</v>
      </c>
      <c r="D41">
        <v>0.4652173913043478</v>
      </c>
      <c r="E41">
        <v>0.49435797665369652</v>
      </c>
      <c r="F41">
        <v>0.22177419354838709</v>
      </c>
      <c r="G41">
        <v>1.2195121951219513E-2</v>
      </c>
      <c r="H41">
        <v>1</v>
      </c>
      <c r="I41">
        <v>0</v>
      </c>
      <c r="J41">
        <v>0</v>
      </c>
      <c r="K41">
        <v>0.21825858875521617</v>
      </c>
      <c r="L41">
        <v>1.2312665624283752E-2</v>
      </c>
    </row>
    <row r="42" spans="1:12">
      <c r="A42">
        <v>0.1072961373390558</v>
      </c>
      <c r="B42">
        <v>0.625</v>
      </c>
      <c r="C42">
        <v>0.5494505494505495</v>
      </c>
      <c r="D42">
        <v>0.45217391304347826</v>
      </c>
      <c r="E42">
        <v>0.4830739299610895</v>
      </c>
      <c r="F42">
        <v>0.20161290322580644</v>
      </c>
      <c r="G42">
        <v>1.2195121951219513E-2</v>
      </c>
      <c r="H42">
        <v>1</v>
      </c>
      <c r="I42">
        <v>0</v>
      </c>
      <c r="J42">
        <v>0</v>
      </c>
      <c r="K42">
        <v>0.22114973138806499</v>
      </c>
      <c r="L42">
        <v>1.296264087787658E-2</v>
      </c>
    </row>
    <row r="43" spans="1:12">
      <c r="A43">
        <v>6.4377682403433473E-2</v>
      </c>
      <c r="B43">
        <v>0.625</v>
      </c>
      <c r="C43">
        <v>0.69230769230769229</v>
      </c>
      <c r="D43">
        <v>0.58260869565217388</v>
      </c>
      <c r="E43">
        <v>0.6501945525291829</v>
      </c>
      <c r="F43">
        <v>0.1411290322580645</v>
      </c>
      <c r="G43">
        <v>1.2195121951219513E-2</v>
      </c>
      <c r="H43">
        <v>1</v>
      </c>
      <c r="I43">
        <v>0</v>
      </c>
      <c r="J43">
        <v>0</v>
      </c>
      <c r="K43">
        <v>0.22274065646503732</v>
      </c>
      <c r="L43">
        <v>2.5078831553636213E-2</v>
      </c>
    </row>
    <row r="44" spans="1:12">
      <c r="A44">
        <v>8.5836909871244635E-2</v>
      </c>
      <c r="B44">
        <v>0.625</v>
      </c>
      <c r="C44">
        <v>0.72967032967032963</v>
      </c>
      <c r="D44">
        <v>0.53913043478260869</v>
      </c>
      <c r="E44">
        <v>0.60953307392996114</v>
      </c>
      <c r="F44">
        <v>0.16129032258064516</v>
      </c>
      <c r="G44">
        <v>1.2195121951219513E-2</v>
      </c>
      <c r="H44">
        <v>1</v>
      </c>
      <c r="I44">
        <v>0</v>
      </c>
      <c r="J44">
        <v>0</v>
      </c>
      <c r="K44">
        <v>0.21492250077974945</v>
      </c>
      <c r="L44">
        <v>1.6663089780197857E-2</v>
      </c>
    </row>
    <row r="45" spans="1:12">
      <c r="A45">
        <v>8.5836909871244635E-2</v>
      </c>
      <c r="B45">
        <v>0.625</v>
      </c>
      <c r="C45">
        <v>0.72967032967032963</v>
      </c>
      <c r="D45">
        <v>0.56086956521739129</v>
      </c>
      <c r="E45">
        <v>0.68618677042801557</v>
      </c>
      <c r="F45">
        <v>0.16129032258064516</v>
      </c>
      <c r="G45">
        <v>1.2195121951219513E-2</v>
      </c>
      <c r="H45">
        <v>1</v>
      </c>
      <c r="I45">
        <v>0</v>
      </c>
      <c r="J45">
        <v>0</v>
      </c>
      <c r="K45">
        <v>0.2137847164503664</v>
      </c>
      <c r="L45">
        <v>1.6370641208408351E-2</v>
      </c>
    </row>
    <row r="46" spans="1:12">
      <c r="A46">
        <v>0.19313304721030042</v>
      </c>
      <c r="B46">
        <v>0.375</v>
      </c>
      <c r="C46">
        <v>0.4175824175824176</v>
      </c>
      <c r="D46">
        <v>0.27826086956521739</v>
      </c>
      <c r="E46">
        <v>0.26245136186770429</v>
      </c>
      <c r="F46">
        <v>0.22177419354838709</v>
      </c>
      <c r="G46">
        <v>1.2195121951219513E-2</v>
      </c>
      <c r="H46">
        <v>1</v>
      </c>
      <c r="I46">
        <v>0</v>
      </c>
      <c r="J46">
        <v>0</v>
      </c>
      <c r="K46">
        <v>0.25639265451223536</v>
      </c>
      <c r="L46">
        <v>4.0017779159950209E-3</v>
      </c>
    </row>
    <row r="47" spans="1:12">
      <c r="A47">
        <v>0.27896995708154504</v>
      </c>
      <c r="B47">
        <v>0.125</v>
      </c>
      <c r="C47">
        <v>0.15824175824175823</v>
      </c>
      <c r="D47">
        <v>0.11304347826086956</v>
      </c>
      <c r="E47">
        <v>0.15466926070038911</v>
      </c>
      <c r="F47">
        <v>0.44354838709677419</v>
      </c>
      <c r="G47">
        <v>1.2195121951219513E-2</v>
      </c>
      <c r="H47">
        <v>1</v>
      </c>
      <c r="I47">
        <v>0</v>
      </c>
      <c r="J47">
        <v>0</v>
      </c>
      <c r="K47">
        <v>0.30023567836583159</v>
      </c>
      <c r="L47">
        <v>4.5223090174095819E-4</v>
      </c>
    </row>
    <row r="48" spans="1:12">
      <c r="A48">
        <v>0.21459227467811159</v>
      </c>
      <c r="B48">
        <v>0.375</v>
      </c>
      <c r="C48">
        <v>0.4</v>
      </c>
      <c r="D48">
        <v>0.23478260869565218</v>
      </c>
      <c r="E48">
        <v>0.32470817120622569</v>
      </c>
      <c r="F48">
        <v>0.282258064516129</v>
      </c>
      <c r="G48">
        <v>1.2195121951219513E-2</v>
      </c>
      <c r="H48">
        <v>1</v>
      </c>
      <c r="I48">
        <v>0</v>
      </c>
      <c r="J48">
        <v>0</v>
      </c>
      <c r="K48">
        <v>0.24682511300803625</v>
      </c>
      <c r="L48">
        <v>1.0389558668030601E-3</v>
      </c>
    </row>
    <row r="49" spans="1:12">
      <c r="A49">
        <v>0.19313304721030042</v>
      </c>
      <c r="B49">
        <v>0.375</v>
      </c>
      <c r="C49">
        <v>0.4</v>
      </c>
      <c r="D49">
        <v>0.18260869565217391</v>
      </c>
      <c r="E49">
        <v>0.29688715953307393</v>
      </c>
      <c r="F49">
        <v>0.26209677419354838</v>
      </c>
      <c r="G49">
        <v>1.2195121951219513E-2</v>
      </c>
      <c r="H49">
        <v>1</v>
      </c>
      <c r="I49">
        <v>0</v>
      </c>
      <c r="J49">
        <v>0</v>
      </c>
      <c r="K49">
        <v>0.23844823199295218</v>
      </c>
      <c r="L49">
        <v>2.0534659718858734E-3</v>
      </c>
    </row>
    <row r="50" spans="1:12">
      <c r="A50">
        <v>0.30042918454935619</v>
      </c>
      <c r="B50">
        <v>0.125</v>
      </c>
      <c r="C50">
        <v>0.11868131868131868</v>
      </c>
      <c r="D50">
        <v>0.17391304347826086</v>
      </c>
      <c r="E50">
        <v>0.11809338521400778</v>
      </c>
      <c r="F50">
        <v>0.24193548387096772</v>
      </c>
      <c r="G50">
        <v>1.2195121951219513E-2</v>
      </c>
      <c r="H50">
        <v>1</v>
      </c>
      <c r="I50">
        <v>0</v>
      </c>
      <c r="J50">
        <v>0</v>
      </c>
      <c r="K50">
        <v>0.31198899514666761</v>
      </c>
      <c r="L50">
        <v>1.3362922104571354E-4</v>
      </c>
    </row>
    <row r="51" spans="1:12">
      <c r="A51">
        <v>0.40772532188841198</v>
      </c>
      <c r="B51">
        <v>0.125</v>
      </c>
      <c r="C51">
        <v>0.10549450549450549</v>
      </c>
      <c r="D51">
        <v>0.19130434782608696</v>
      </c>
      <c r="E51">
        <v>9.9221789883268477E-2</v>
      </c>
      <c r="F51">
        <v>0.24193548387096772</v>
      </c>
      <c r="G51">
        <v>1.2195121951219513E-2</v>
      </c>
      <c r="H51">
        <v>0</v>
      </c>
      <c r="I51">
        <v>1</v>
      </c>
      <c r="J51">
        <v>0</v>
      </c>
      <c r="K51">
        <v>0.31797877674448144</v>
      </c>
      <c r="L51">
        <v>8.0544423652715632E-3</v>
      </c>
    </row>
    <row r="52" spans="1:12">
      <c r="A52">
        <v>0.45064377682403434</v>
      </c>
      <c r="B52">
        <v>0.125</v>
      </c>
      <c r="C52">
        <v>2.4175824175824177E-2</v>
      </c>
      <c r="D52">
        <v>0.10434782608695652</v>
      </c>
      <c r="E52">
        <v>8.9688715953307394E-2</v>
      </c>
      <c r="F52">
        <v>0.46370967741935482</v>
      </c>
      <c r="G52">
        <v>1.2195121951219513E-2</v>
      </c>
      <c r="H52">
        <v>0</v>
      </c>
      <c r="I52">
        <v>1</v>
      </c>
      <c r="J52">
        <v>0</v>
      </c>
      <c r="K52">
        <v>0.32396436170561937</v>
      </c>
      <c r="L52">
        <v>1.60476742147437E-2</v>
      </c>
    </row>
    <row r="53" spans="1:12">
      <c r="A53">
        <v>0.45064377682403434</v>
      </c>
      <c r="B53">
        <v>0.125</v>
      </c>
      <c r="C53">
        <v>4.3956043956043959E-2</v>
      </c>
      <c r="D53">
        <v>0.13043478260869565</v>
      </c>
      <c r="E53">
        <v>8.7937743190661485E-2</v>
      </c>
      <c r="F53">
        <v>0.26209677419354838</v>
      </c>
      <c r="G53">
        <v>1.2195121951219513E-2</v>
      </c>
      <c r="H53">
        <v>0</v>
      </c>
      <c r="I53">
        <v>1</v>
      </c>
      <c r="J53">
        <v>0</v>
      </c>
      <c r="K53">
        <v>0.31980861474385991</v>
      </c>
      <c r="L53">
        <v>1.7117839636545513E-2</v>
      </c>
    </row>
    <row r="54" spans="1:12">
      <c r="A54">
        <v>0.47210300429184548</v>
      </c>
      <c r="B54">
        <v>0.125</v>
      </c>
      <c r="C54">
        <v>6.5934065934065934E-3</v>
      </c>
      <c r="D54">
        <v>8.2608695652173908E-2</v>
      </c>
      <c r="E54">
        <v>3.1128404669260701E-2</v>
      </c>
      <c r="F54">
        <v>0.44354838709677419</v>
      </c>
      <c r="G54">
        <v>1.2195121951219513E-2</v>
      </c>
      <c r="H54">
        <v>0</v>
      </c>
      <c r="I54">
        <v>0</v>
      </c>
      <c r="J54">
        <v>1</v>
      </c>
      <c r="K54">
        <v>0.3275875294267207</v>
      </c>
      <c r="L54">
        <v>2.0884722475492511E-2</v>
      </c>
    </row>
    <row r="55" spans="1:12">
      <c r="A55">
        <v>0.55793991416309008</v>
      </c>
      <c r="B55">
        <v>0.125</v>
      </c>
      <c r="C55">
        <v>8.7912087912087912E-3</v>
      </c>
      <c r="D55">
        <v>0.1</v>
      </c>
      <c r="E55">
        <v>0</v>
      </c>
      <c r="F55">
        <v>0.40322580645161288</v>
      </c>
      <c r="G55">
        <v>1.2195121951219513E-2</v>
      </c>
      <c r="H55">
        <v>0</v>
      </c>
      <c r="I55">
        <v>0</v>
      </c>
      <c r="J55">
        <v>1</v>
      </c>
      <c r="K55">
        <v>0.32737370163175517</v>
      </c>
      <c r="L55">
        <v>5.31607783610447E-2</v>
      </c>
    </row>
    <row r="56" spans="1:12">
      <c r="A56">
        <v>0.38626609442060084</v>
      </c>
      <c r="B56">
        <v>0.125</v>
      </c>
      <c r="C56">
        <v>6.3736263736263732E-2</v>
      </c>
      <c r="D56">
        <v>6.0869565217391307E-2</v>
      </c>
      <c r="E56">
        <v>4.2996108949416342E-2</v>
      </c>
      <c r="F56">
        <v>0.44354838709677419</v>
      </c>
      <c r="G56">
        <v>1.2195121951219513E-2</v>
      </c>
      <c r="H56">
        <v>0</v>
      </c>
      <c r="I56">
        <v>1</v>
      </c>
      <c r="J56">
        <v>0</v>
      </c>
      <c r="K56">
        <v>0.32339113276933629</v>
      </c>
      <c r="L56">
        <v>3.9532608026479881E-3</v>
      </c>
    </row>
    <row r="57" spans="1:12">
      <c r="A57">
        <v>0.36480686695278969</v>
      </c>
      <c r="B57">
        <v>0.125</v>
      </c>
      <c r="C57">
        <v>5.054945054945055E-2</v>
      </c>
      <c r="D57">
        <v>0.10434782608695652</v>
      </c>
      <c r="E57">
        <v>6.6536964980544747E-2</v>
      </c>
      <c r="F57">
        <v>0.50403225806451613</v>
      </c>
      <c r="G57">
        <v>1.2195121951219513E-2</v>
      </c>
      <c r="H57">
        <v>1</v>
      </c>
      <c r="I57">
        <v>0</v>
      </c>
      <c r="J57">
        <v>0</v>
      </c>
      <c r="K57">
        <v>0.3133185600300577</v>
      </c>
      <c r="L57">
        <v>2.6510457497694504E-3</v>
      </c>
    </row>
    <row r="58" spans="1:12">
      <c r="A58">
        <v>0.32188841201716739</v>
      </c>
      <c r="B58">
        <v>0.125</v>
      </c>
      <c r="C58">
        <v>9.8901098901098897E-2</v>
      </c>
      <c r="D58">
        <v>0.21304347826086956</v>
      </c>
      <c r="E58">
        <v>0.1293774319066148</v>
      </c>
      <c r="F58">
        <v>0.30241935483870969</v>
      </c>
      <c r="G58">
        <v>2.4390243902439025E-2</v>
      </c>
      <c r="H58">
        <v>0</v>
      </c>
      <c r="I58">
        <v>0</v>
      </c>
      <c r="J58">
        <v>1</v>
      </c>
      <c r="K58">
        <v>0.32687538795515042</v>
      </c>
      <c r="L58">
        <v>2.4869929006021713E-5</v>
      </c>
    </row>
    <row r="59" spans="1:12">
      <c r="A59">
        <v>0.34334763948497854</v>
      </c>
      <c r="B59">
        <v>0.125</v>
      </c>
      <c r="C59">
        <v>6.4835164835164841E-2</v>
      </c>
      <c r="D59">
        <v>0.14782608695652175</v>
      </c>
      <c r="E59">
        <v>9.9805447470817127E-2</v>
      </c>
      <c r="F59">
        <v>0.36290322580645162</v>
      </c>
      <c r="G59">
        <v>2.4390243902439025E-2</v>
      </c>
      <c r="H59">
        <v>1</v>
      </c>
      <c r="I59">
        <v>0</v>
      </c>
      <c r="J59">
        <v>0</v>
      </c>
      <c r="K59">
        <v>0.315513866848321</v>
      </c>
      <c r="L59">
        <v>7.7471889918914597E-4</v>
      </c>
    </row>
    <row r="60" spans="1:12">
      <c r="A60">
        <v>0.30042918454935619</v>
      </c>
      <c r="B60">
        <v>0.125</v>
      </c>
      <c r="C60">
        <v>6.3736263736263732E-2</v>
      </c>
      <c r="D60">
        <v>3.4782608695652174E-2</v>
      </c>
      <c r="E60">
        <v>0.12470817120622568</v>
      </c>
      <c r="F60">
        <v>0.625</v>
      </c>
      <c r="G60">
        <v>2.4390243902439025E-2</v>
      </c>
      <c r="H60">
        <v>0</v>
      </c>
      <c r="I60">
        <v>1</v>
      </c>
      <c r="J60">
        <v>0</v>
      </c>
      <c r="K60">
        <v>0.3284065427912114</v>
      </c>
      <c r="L60">
        <v>7.8273257419310361E-4</v>
      </c>
    </row>
    <row r="61" spans="1:12">
      <c r="A61">
        <v>0.23605150214592274</v>
      </c>
      <c r="B61">
        <v>0.125</v>
      </c>
      <c r="C61">
        <v>0.15824175824175823</v>
      </c>
      <c r="D61">
        <v>0.19130434782608696</v>
      </c>
      <c r="E61">
        <v>0.15466926070038911</v>
      </c>
      <c r="F61">
        <v>0.46370967741935482</v>
      </c>
      <c r="G61">
        <v>2.4390243902439025E-2</v>
      </c>
      <c r="H61">
        <v>1</v>
      </c>
      <c r="I61">
        <v>0</v>
      </c>
      <c r="J61">
        <v>0</v>
      </c>
      <c r="K61">
        <v>0.3156777797028989</v>
      </c>
      <c r="L61">
        <v>6.3403440775806046E-3</v>
      </c>
    </row>
    <row r="62" spans="1:12">
      <c r="A62">
        <v>0.25751072961373389</v>
      </c>
      <c r="B62">
        <v>0.125</v>
      </c>
      <c r="C62">
        <v>0.11868131868131868</v>
      </c>
      <c r="D62">
        <v>0.17391304347826086</v>
      </c>
      <c r="E62">
        <v>0.11926070038910506</v>
      </c>
      <c r="F62">
        <v>0.34274193548387094</v>
      </c>
      <c r="G62">
        <v>2.4390243902439025E-2</v>
      </c>
      <c r="H62">
        <v>1</v>
      </c>
      <c r="I62">
        <v>0</v>
      </c>
      <c r="J62">
        <v>0</v>
      </c>
      <c r="K62">
        <v>0.31471548223415946</v>
      </c>
      <c r="L62">
        <v>3.2723837223640859E-3</v>
      </c>
    </row>
    <row r="63" spans="1:12">
      <c r="A63">
        <v>8.5836909871244635E-2</v>
      </c>
      <c r="B63">
        <v>0.625</v>
      </c>
      <c r="C63">
        <v>0.6197802197802198</v>
      </c>
      <c r="D63">
        <v>0.5173913043478261</v>
      </c>
      <c r="E63">
        <v>0.51770428015564207</v>
      </c>
      <c r="F63">
        <v>0.16129032258064516</v>
      </c>
      <c r="G63">
        <v>2.4390243902439025E-2</v>
      </c>
      <c r="H63">
        <v>1</v>
      </c>
      <c r="I63">
        <v>0</v>
      </c>
      <c r="J63">
        <v>0</v>
      </c>
      <c r="K63">
        <v>0.22469826964158335</v>
      </c>
      <c r="L63">
        <v>1.9282477237267438E-2</v>
      </c>
    </row>
    <row r="64" spans="1:12">
      <c r="A64">
        <v>0.1072961373390558</v>
      </c>
      <c r="B64">
        <v>0.625</v>
      </c>
      <c r="C64">
        <v>0.72967032967032963</v>
      </c>
      <c r="D64">
        <v>0.56086956521739129</v>
      </c>
      <c r="E64">
        <v>0.53929961089494161</v>
      </c>
      <c r="F64">
        <v>0.16129032258064516</v>
      </c>
      <c r="G64">
        <v>2.4390243902439025E-2</v>
      </c>
      <c r="H64">
        <v>1</v>
      </c>
      <c r="I64">
        <v>0</v>
      </c>
      <c r="J64">
        <v>0</v>
      </c>
      <c r="K64">
        <v>0.22334750966356653</v>
      </c>
      <c r="L64">
        <v>1.3467921018402216E-2</v>
      </c>
    </row>
    <row r="65" spans="1:12">
      <c r="A65">
        <v>0.12875536480686695</v>
      </c>
      <c r="B65">
        <v>0.625</v>
      </c>
      <c r="C65">
        <v>0.5494505494505495</v>
      </c>
      <c r="D65">
        <v>0.45217391304347826</v>
      </c>
      <c r="E65">
        <v>0.49066147859922177</v>
      </c>
      <c r="F65">
        <v>0.22177419354838709</v>
      </c>
      <c r="G65">
        <v>2.4390243902439025E-2</v>
      </c>
      <c r="H65">
        <v>1</v>
      </c>
      <c r="I65">
        <v>0</v>
      </c>
      <c r="J65">
        <v>0</v>
      </c>
      <c r="K65">
        <v>0.22049051294296262</v>
      </c>
      <c r="L65">
        <v>8.4153374035514181E-3</v>
      </c>
    </row>
    <row r="66" spans="1:12">
      <c r="A66">
        <v>0.1072961373390558</v>
      </c>
      <c r="B66">
        <v>0.625</v>
      </c>
      <c r="C66">
        <v>0.62197802197802199</v>
      </c>
      <c r="D66">
        <v>0.4652173913043478</v>
      </c>
      <c r="E66">
        <v>0.4894941634241245</v>
      </c>
      <c r="F66">
        <v>0.20161290322580644</v>
      </c>
      <c r="G66">
        <v>2.4390243902439025E-2</v>
      </c>
      <c r="H66">
        <v>1</v>
      </c>
      <c r="I66">
        <v>0</v>
      </c>
      <c r="J66">
        <v>0</v>
      </c>
      <c r="K66">
        <v>0.21723171497333893</v>
      </c>
      <c r="L66">
        <v>1.2085831229783494E-2</v>
      </c>
    </row>
    <row r="67" spans="1:12">
      <c r="A67">
        <v>0.17167381974248927</v>
      </c>
      <c r="B67">
        <v>0.625</v>
      </c>
      <c r="C67">
        <v>0.51868131868131873</v>
      </c>
      <c r="D67">
        <v>0.45217391304347826</v>
      </c>
      <c r="E67">
        <v>0.40058365758754866</v>
      </c>
      <c r="F67">
        <v>0.1411290322580645</v>
      </c>
      <c r="G67">
        <v>2.4390243902439025E-2</v>
      </c>
      <c r="H67">
        <v>1</v>
      </c>
      <c r="I67">
        <v>0</v>
      </c>
      <c r="J67">
        <v>0</v>
      </c>
      <c r="K67">
        <v>0.22650653650531094</v>
      </c>
      <c r="L67">
        <v>3.0066268275918246E-3</v>
      </c>
    </row>
    <row r="68" spans="1:12">
      <c r="A68">
        <v>4.2918454935622317E-2</v>
      </c>
      <c r="B68">
        <v>0.625</v>
      </c>
      <c r="C68">
        <v>0.79340659340659336</v>
      </c>
      <c r="D68">
        <v>0.70434782608695656</v>
      </c>
      <c r="E68">
        <v>0.58754863813229574</v>
      </c>
      <c r="F68">
        <v>0.12096774193548386</v>
      </c>
      <c r="G68">
        <v>2.4390243902439025E-2</v>
      </c>
      <c r="H68">
        <v>1</v>
      </c>
      <c r="I68">
        <v>0</v>
      </c>
      <c r="J68">
        <v>0</v>
      </c>
      <c r="K68">
        <v>0.24091230498025246</v>
      </c>
      <c r="L68">
        <v>3.9201564655495486E-2</v>
      </c>
    </row>
    <row r="69" spans="1:12">
      <c r="A69">
        <v>8.5836909871244635E-2</v>
      </c>
      <c r="B69">
        <v>0.625</v>
      </c>
      <c r="C69">
        <v>0.6197802197802198</v>
      </c>
      <c r="D69">
        <v>0.47391304347826085</v>
      </c>
      <c r="E69">
        <v>0.56206225680933852</v>
      </c>
      <c r="F69">
        <v>0.22177419354838709</v>
      </c>
      <c r="G69">
        <v>2.4390243902439025E-2</v>
      </c>
      <c r="H69">
        <v>1</v>
      </c>
      <c r="I69">
        <v>0</v>
      </c>
      <c r="J69">
        <v>0</v>
      </c>
      <c r="K69">
        <v>0.21428517713151182</v>
      </c>
      <c r="L69">
        <v>1.6498957362165032E-2</v>
      </c>
    </row>
    <row r="70" spans="1:12">
      <c r="A70">
        <v>6.4377682403433473E-2</v>
      </c>
      <c r="B70">
        <v>0.625</v>
      </c>
      <c r="C70">
        <v>0.6197802197802198</v>
      </c>
      <c r="D70">
        <v>0.4956521739130435</v>
      </c>
      <c r="E70">
        <v>0.5531128404669261</v>
      </c>
      <c r="F70">
        <v>0.22177419354838709</v>
      </c>
      <c r="G70">
        <v>2.4390243902439025E-2</v>
      </c>
      <c r="H70">
        <v>1</v>
      </c>
      <c r="I70">
        <v>0</v>
      </c>
      <c r="J70">
        <v>0</v>
      </c>
      <c r="K70">
        <v>0.2187663675766669</v>
      </c>
      <c r="L70">
        <v>2.3835866109519786E-2</v>
      </c>
    </row>
    <row r="71" spans="1:12">
      <c r="A71">
        <v>8.5836909871244635E-2</v>
      </c>
      <c r="B71">
        <v>0.625</v>
      </c>
      <c r="C71">
        <v>0.72967032967032963</v>
      </c>
      <c r="D71">
        <v>0.62608695652173918</v>
      </c>
      <c r="E71">
        <v>0.54649805447470812</v>
      </c>
      <c r="F71">
        <v>0.18145161290322581</v>
      </c>
      <c r="G71">
        <v>2.4390243902439025E-2</v>
      </c>
      <c r="H71">
        <v>1</v>
      </c>
      <c r="I71">
        <v>0</v>
      </c>
      <c r="J71">
        <v>0</v>
      </c>
      <c r="K71">
        <v>0.23444422800339071</v>
      </c>
      <c r="L71">
        <v>2.2084135002428867E-2</v>
      </c>
    </row>
    <row r="72" spans="1:12">
      <c r="A72">
        <v>0.21459227467811159</v>
      </c>
      <c r="B72">
        <v>0</v>
      </c>
      <c r="C72">
        <v>4.3956043956043956E-3</v>
      </c>
      <c r="D72">
        <v>0.22173913043478261</v>
      </c>
      <c r="E72">
        <v>0.13949416342412452</v>
      </c>
      <c r="F72">
        <v>0.22177419354838709</v>
      </c>
      <c r="G72">
        <v>2.4390243902439025E-2</v>
      </c>
      <c r="H72">
        <v>0</v>
      </c>
      <c r="I72">
        <v>0</v>
      </c>
      <c r="J72">
        <v>1</v>
      </c>
      <c r="K72">
        <v>0.32488467073629784</v>
      </c>
      <c r="L72">
        <v>1.2164412628255818E-2</v>
      </c>
    </row>
    <row r="73" spans="1:12">
      <c r="A73">
        <v>0.12875536480686695</v>
      </c>
      <c r="B73">
        <v>0.625</v>
      </c>
      <c r="C73">
        <v>0.51868131868131873</v>
      </c>
      <c r="D73">
        <v>0.45217391304347826</v>
      </c>
      <c r="E73">
        <v>0.44338521400778208</v>
      </c>
      <c r="F73">
        <v>0.18145161290322581</v>
      </c>
      <c r="G73">
        <v>2.4390243902439025E-2</v>
      </c>
      <c r="H73">
        <v>1</v>
      </c>
      <c r="I73">
        <v>0</v>
      </c>
      <c r="J73">
        <v>0</v>
      </c>
      <c r="K73">
        <v>0.22380094176705248</v>
      </c>
      <c r="L73">
        <v>9.0336616996945507E-3</v>
      </c>
    </row>
    <row r="74" spans="1:12">
      <c r="A74">
        <v>8.5836909871244635E-2</v>
      </c>
      <c r="B74">
        <v>0.625</v>
      </c>
      <c r="C74">
        <v>0.5252747252747253</v>
      </c>
      <c r="D74">
        <v>0.36521739130434783</v>
      </c>
      <c r="E74">
        <v>0.48346303501945526</v>
      </c>
      <c r="F74">
        <v>0.24193548387096772</v>
      </c>
      <c r="G74">
        <v>2.4390243902439025E-2</v>
      </c>
      <c r="H74">
        <v>1</v>
      </c>
      <c r="I74">
        <v>0</v>
      </c>
      <c r="J74">
        <v>0</v>
      </c>
      <c r="K74">
        <v>0.20584106963126755</v>
      </c>
      <c r="L74">
        <v>1.4400998359709104E-2</v>
      </c>
    </row>
    <row r="75" spans="1:12">
      <c r="A75">
        <v>8.5836909871244635E-2</v>
      </c>
      <c r="B75">
        <v>0.625</v>
      </c>
      <c r="C75">
        <v>0.51428571428571423</v>
      </c>
      <c r="D75">
        <v>0.40869565217391307</v>
      </c>
      <c r="E75">
        <v>0.52159533073929965</v>
      </c>
      <c r="F75">
        <v>0.32258064516129031</v>
      </c>
      <c r="G75">
        <v>2.4390243902439025E-2</v>
      </c>
      <c r="H75">
        <v>1</v>
      </c>
      <c r="I75">
        <v>0</v>
      </c>
      <c r="J75">
        <v>0</v>
      </c>
      <c r="K75">
        <v>0.21395839435568342</v>
      </c>
      <c r="L75">
        <v>1.6415114786496286E-2</v>
      </c>
    </row>
    <row r="76" spans="1:12">
      <c r="A76">
        <v>0.1072961373390558</v>
      </c>
      <c r="B76">
        <v>0.625</v>
      </c>
      <c r="C76">
        <v>0.5494505494505495</v>
      </c>
      <c r="D76">
        <v>0.45217391304347826</v>
      </c>
      <c r="E76">
        <v>0.4793774319066148</v>
      </c>
      <c r="F76">
        <v>0.24193548387096772</v>
      </c>
      <c r="G76">
        <v>2.4390243902439025E-2</v>
      </c>
      <c r="H76">
        <v>1</v>
      </c>
      <c r="I76">
        <v>0</v>
      </c>
      <c r="J76">
        <v>0</v>
      </c>
      <c r="K76">
        <v>0.22026794252093135</v>
      </c>
      <c r="L76">
        <v>1.2762628766051644E-2</v>
      </c>
    </row>
    <row r="77" spans="1:12">
      <c r="A77">
        <v>0.19313304721030042</v>
      </c>
      <c r="B77">
        <v>0.125</v>
      </c>
      <c r="C77">
        <v>0.11648351648351649</v>
      </c>
      <c r="D77">
        <v>0.28695652173913044</v>
      </c>
      <c r="E77">
        <v>0.25680933852140075</v>
      </c>
      <c r="F77">
        <v>0.26209677419354838</v>
      </c>
      <c r="G77">
        <v>2.4390243902439025E-2</v>
      </c>
      <c r="H77">
        <v>0</v>
      </c>
      <c r="I77">
        <v>1</v>
      </c>
      <c r="J77">
        <v>0</v>
      </c>
      <c r="K77">
        <v>0.31882036559316274</v>
      </c>
      <c r="L77">
        <v>1.5797302002274999E-2</v>
      </c>
    </row>
    <row r="78" spans="1:12">
      <c r="A78">
        <v>0.27896995708154504</v>
      </c>
      <c r="B78">
        <v>0.125</v>
      </c>
      <c r="C78">
        <v>0.11648351648351649</v>
      </c>
      <c r="D78">
        <v>0.13043478260869565</v>
      </c>
      <c r="E78">
        <v>0.17470817120622567</v>
      </c>
      <c r="F78">
        <v>0.40322580645161288</v>
      </c>
      <c r="G78">
        <v>2.4390243902439025E-2</v>
      </c>
      <c r="H78">
        <v>0</v>
      </c>
      <c r="I78">
        <v>1</v>
      </c>
      <c r="J78">
        <v>0</v>
      </c>
      <c r="K78">
        <v>0.32213204533653056</v>
      </c>
      <c r="L78">
        <v>1.862965862531159E-3</v>
      </c>
    </row>
    <row r="79" spans="1:12">
      <c r="A79">
        <v>0.25751072961373389</v>
      </c>
      <c r="B79">
        <v>0.125</v>
      </c>
      <c r="C79">
        <v>0.11428571428571428</v>
      </c>
      <c r="D79">
        <v>0.17826086956521739</v>
      </c>
      <c r="E79">
        <v>0.26575875486381323</v>
      </c>
      <c r="F79">
        <v>0.46370967741935482</v>
      </c>
      <c r="G79">
        <v>2.4390243902439025E-2</v>
      </c>
      <c r="H79">
        <v>0</v>
      </c>
      <c r="I79">
        <v>1</v>
      </c>
      <c r="J79">
        <v>0</v>
      </c>
      <c r="K79">
        <v>0.32409384459081203</v>
      </c>
      <c r="L79">
        <v>4.4333112000508072E-3</v>
      </c>
    </row>
    <row r="80" spans="1:12">
      <c r="A80">
        <v>0.36480686695278969</v>
      </c>
      <c r="B80">
        <v>0.125</v>
      </c>
      <c r="C80">
        <v>6.1538461538461542E-2</v>
      </c>
      <c r="D80">
        <v>0.1</v>
      </c>
      <c r="E80">
        <v>0.11206225680933853</v>
      </c>
      <c r="F80">
        <v>0.40322580645161288</v>
      </c>
      <c r="G80">
        <v>2.4390243902439025E-2</v>
      </c>
      <c r="H80">
        <v>0</v>
      </c>
      <c r="I80">
        <v>1</v>
      </c>
      <c r="J80">
        <v>0</v>
      </c>
      <c r="K80">
        <v>0.32201223748602631</v>
      </c>
      <c r="L80">
        <v>1.8313803111975726E-3</v>
      </c>
    </row>
    <row r="81" spans="1:12">
      <c r="A81">
        <v>0.27896995708154504</v>
      </c>
      <c r="B81">
        <v>0.125</v>
      </c>
      <c r="C81">
        <v>0.11868131868131868</v>
      </c>
      <c r="D81">
        <v>0.17391304347826086</v>
      </c>
      <c r="E81">
        <v>0.15214007782101166</v>
      </c>
      <c r="F81">
        <v>0.32258064516129031</v>
      </c>
      <c r="G81">
        <v>2.4390243902439025E-2</v>
      </c>
      <c r="H81">
        <v>1</v>
      </c>
      <c r="I81">
        <v>0</v>
      </c>
      <c r="J81">
        <v>0</v>
      </c>
      <c r="K81">
        <v>0.31047553334239586</v>
      </c>
      <c r="L81">
        <v>9.9260133552828687E-4</v>
      </c>
    </row>
    <row r="82" spans="1:12">
      <c r="A82">
        <v>0.40772532188841198</v>
      </c>
      <c r="B82">
        <v>0.125</v>
      </c>
      <c r="C82">
        <v>6.3736263736263732E-2</v>
      </c>
      <c r="D82">
        <v>0.2</v>
      </c>
      <c r="E82">
        <v>0.13132295719844359</v>
      </c>
      <c r="F82">
        <v>0.36290322580645162</v>
      </c>
      <c r="G82">
        <v>2.4390243902439025E-2</v>
      </c>
      <c r="H82">
        <v>0</v>
      </c>
      <c r="I82">
        <v>0</v>
      </c>
      <c r="J82">
        <v>1</v>
      </c>
      <c r="K82">
        <v>0.32564793507332096</v>
      </c>
      <c r="L82">
        <v>6.7366974263940779E-3</v>
      </c>
    </row>
    <row r="83" spans="1:12">
      <c r="A83">
        <v>0.30042918454935619</v>
      </c>
      <c r="B83">
        <v>0.125</v>
      </c>
      <c r="C83">
        <v>0.11428571428571428</v>
      </c>
      <c r="D83">
        <v>0.22173913043478261</v>
      </c>
      <c r="E83">
        <v>0.17373540856031128</v>
      </c>
      <c r="F83">
        <v>0.26209677419354838</v>
      </c>
      <c r="G83">
        <v>2.4390243902439025E-2</v>
      </c>
      <c r="H83">
        <v>0</v>
      </c>
      <c r="I83">
        <v>0</v>
      </c>
      <c r="J83">
        <v>1</v>
      </c>
      <c r="K83">
        <v>0.32558629919210108</v>
      </c>
      <c r="L83">
        <v>6.3288041714820947E-4</v>
      </c>
    </row>
    <row r="84" spans="1:12">
      <c r="A84">
        <v>0.40772532188841198</v>
      </c>
      <c r="B84">
        <v>0.125</v>
      </c>
      <c r="C84">
        <v>6.5934065934065936E-2</v>
      </c>
      <c r="D84">
        <v>0.14782608695652175</v>
      </c>
      <c r="E84">
        <v>0.10719844357976653</v>
      </c>
      <c r="F84">
        <v>0.282258064516129</v>
      </c>
      <c r="G84">
        <v>2.4390243902439025E-2</v>
      </c>
      <c r="H84">
        <v>1</v>
      </c>
      <c r="I84">
        <v>0</v>
      </c>
      <c r="J84">
        <v>0</v>
      </c>
      <c r="K84">
        <v>0.31144126162852021</v>
      </c>
      <c r="L84">
        <v>9.2706202601304712E-3</v>
      </c>
    </row>
    <row r="85" spans="1:12">
      <c r="A85">
        <v>0.38626609442060084</v>
      </c>
      <c r="B85">
        <v>0.125</v>
      </c>
      <c r="C85">
        <v>6.3736263736263732E-2</v>
      </c>
      <c r="D85">
        <v>0.18260869565217391</v>
      </c>
      <c r="E85">
        <v>9.4747081712062253E-2</v>
      </c>
      <c r="F85">
        <v>0.34274193548387094</v>
      </c>
      <c r="G85">
        <v>2.4390243902439025E-2</v>
      </c>
      <c r="H85">
        <v>0</v>
      </c>
      <c r="I85">
        <v>0</v>
      </c>
      <c r="J85">
        <v>1</v>
      </c>
      <c r="K85">
        <v>0.32584733739432176</v>
      </c>
      <c r="L85">
        <v>3.6504262006005475E-3</v>
      </c>
    </row>
    <row r="86" spans="1:12">
      <c r="A86">
        <v>8.5836909871244635E-2</v>
      </c>
      <c r="B86">
        <v>0.625</v>
      </c>
      <c r="C86">
        <v>0.6197802197802198</v>
      </c>
      <c r="D86">
        <v>0.56086956521739129</v>
      </c>
      <c r="E86">
        <v>0.48385214007782101</v>
      </c>
      <c r="F86">
        <v>0.20161290322580644</v>
      </c>
      <c r="G86">
        <v>3.6585365853658534E-2</v>
      </c>
      <c r="H86">
        <v>1</v>
      </c>
      <c r="I86">
        <v>0</v>
      </c>
      <c r="J86">
        <v>0</v>
      </c>
      <c r="K86">
        <v>0.23409554241405767</v>
      </c>
      <c r="L86">
        <v>2.1980622123464855E-2</v>
      </c>
    </row>
    <row r="87" spans="1:12">
      <c r="A87">
        <v>0.1072961373390558</v>
      </c>
      <c r="B87">
        <v>0.625</v>
      </c>
      <c r="C87">
        <v>0.51868131868131873</v>
      </c>
      <c r="D87">
        <v>0.45217391304347826</v>
      </c>
      <c r="E87">
        <v>0.40058365758754866</v>
      </c>
      <c r="F87">
        <v>0.1411290322580645</v>
      </c>
      <c r="G87">
        <v>3.6585365853658534E-2</v>
      </c>
      <c r="H87">
        <v>1</v>
      </c>
      <c r="I87">
        <v>0</v>
      </c>
      <c r="J87">
        <v>0</v>
      </c>
      <c r="K87">
        <v>0.22506836695416244</v>
      </c>
      <c r="L87">
        <v>1.3870298068513401E-2</v>
      </c>
    </row>
    <row r="88" spans="1:12">
      <c r="A88">
        <v>8.5836909871244635E-2</v>
      </c>
      <c r="B88">
        <v>0.625</v>
      </c>
      <c r="C88">
        <v>0.6197802197802198</v>
      </c>
      <c r="D88">
        <v>0.43043478260869567</v>
      </c>
      <c r="E88">
        <v>0.46206225680933855</v>
      </c>
      <c r="F88">
        <v>0.20161290322580644</v>
      </c>
      <c r="G88">
        <v>3.6585365853658534E-2</v>
      </c>
      <c r="H88">
        <v>1</v>
      </c>
      <c r="I88">
        <v>0</v>
      </c>
      <c r="J88">
        <v>0</v>
      </c>
      <c r="K88">
        <v>0.21099521661756415</v>
      </c>
      <c r="L88">
        <v>1.5664601747605807E-2</v>
      </c>
    </row>
    <row r="89" spans="1:12">
      <c r="A89">
        <v>0.1072961373390558</v>
      </c>
      <c r="B89">
        <v>0.625</v>
      </c>
      <c r="C89">
        <v>0.51428571428571423</v>
      </c>
      <c r="D89">
        <v>0.39565217391304347</v>
      </c>
      <c r="E89">
        <v>0.47256809338521399</v>
      </c>
      <c r="F89">
        <v>0.26209677419354838</v>
      </c>
      <c r="G89">
        <v>3.6585365853658534E-2</v>
      </c>
      <c r="H89">
        <v>1</v>
      </c>
      <c r="I89">
        <v>0</v>
      </c>
      <c r="J89">
        <v>0</v>
      </c>
      <c r="K89">
        <v>0.21271242342135918</v>
      </c>
      <c r="L89">
        <v>1.111259337138603E-2</v>
      </c>
    </row>
    <row r="90" spans="1:12">
      <c r="A90">
        <v>0.12875536480686695</v>
      </c>
      <c r="B90">
        <v>0.625</v>
      </c>
      <c r="C90">
        <v>0.5494505494505495</v>
      </c>
      <c r="D90">
        <v>0.45217391304347826</v>
      </c>
      <c r="E90">
        <v>0.42101167315175098</v>
      </c>
      <c r="F90">
        <v>0.18145161290322581</v>
      </c>
      <c r="G90">
        <v>3.6585365853658534E-2</v>
      </c>
      <c r="H90">
        <v>1</v>
      </c>
      <c r="I90">
        <v>0</v>
      </c>
      <c r="J90">
        <v>0</v>
      </c>
      <c r="K90">
        <v>0.22207824854799796</v>
      </c>
      <c r="L90">
        <v>8.7091606297606556E-3</v>
      </c>
    </row>
    <row r="91" spans="1:12">
      <c r="A91">
        <v>6.4377682403433473E-2</v>
      </c>
      <c r="B91">
        <v>0.625</v>
      </c>
      <c r="C91">
        <v>0.79340659340659336</v>
      </c>
      <c r="D91">
        <v>0.66086956521739126</v>
      </c>
      <c r="E91">
        <v>0.64961089494163426</v>
      </c>
      <c r="F91">
        <v>0.1411290322580645</v>
      </c>
      <c r="G91">
        <v>3.6585365853658534E-2</v>
      </c>
      <c r="H91">
        <v>1</v>
      </c>
      <c r="I91">
        <v>0</v>
      </c>
      <c r="J91">
        <v>0</v>
      </c>
      <c r="K91">
        <v>0.22716802674914455</v>
      </c>
      <c r="L91">
        <v>2.6500696212195186E-2</v>
      </c>
    </row>
    <row r="92" spans="1:12">
      <c r="A92">
        <v>8.5836909871244635E-2</v>
      </c>
      <c r="B92">
        <v>0.625</v>
      </c>
      <c r="C92">
        <v>0.72967032967032963</v>
      </c>
      <c r="D92">
        <v>0.45217391304347826</v>
      </c>
      <c r="E92">
        <v>0.55466926070038913</v>
      </c>
      <c r="F92">
        <v>0.16129032258064516</v>
      </c>
      <c r="G92">
        <v>3.6585365853658534E-2</v>
      </c>
      <c r="H92">
        <v>1</v>
      </c>
      <c r="I92">
        <v>0</v>
      </c>
      <c r="J92">
        <v>0</v>
      </c>
      <c r="K92">
        <v>0.19950777637068412</v>
      </c>
      <c r="L92">
        <v>1.2921065890733394E-2</v>
      </c>
    </row>
    <row r="93" spans="1:12">
      <c r="A93">
        <v>8.5836909871244635E-2</v>
      </c>
      <c r="B93">
        <v>0.625</v>
      </c>
      <c r="C93">
        <v>0.62197802197802199</v>
      </c>
      <c r="D93">
        <v>0.48695652173913045</v>
      </c>
      <c r="E93">
        <v>0.53501945525291827</v>
      </c>
      <c r="F93">
        <v>0.20161290322580644</v>
      </c>
      <c r="G93">
        <v>3.6585365853658534E-2</v>
      </c>
      <c r="H93">
        <v>1</v>
      </c>
      <c r="I93">
        <v>0</v>
      </c>
      <c r="J93">
        <v>0</v>
      </c>
      <c r="K93">
        <v>0.21584101154719476</v>
      </c>
      <c r="L93">
        <v>1.6901066452570775E-2</v>
      </c>
    </row>
    <row r="94" spans="1:12">
      <c r="A94">
        <v>0.1072961373390558</v>
      </c>
      <c r="B94">
        <v>0.625</v>
      </c>
      <c r="C94">
        <v>0.5494505494505495</v>
      </c>
      <c r="D94">
        <v>0.45217391304347826</v>
      </c>
      <c r="E94">
        <v>0.51050583657587545</v>
      </c>
      <c r="F94">
        <v>0.26209677419354838</v>
      </c>
      <c r="G94">
        <v>3.6585365853658534E-2</v>
      </c>
      <c r="H94">
        <v>1</v>
      </c>
      <c r="I94">
        <v>0</v>
      </c>
      <c r="J94">
        <v>0</v>
      </c>
      <c r="K94">
        <v>0.21750001794658169</v>
      </c>
      <c r="L94">
        <v>1.2144895300957822E-2</v>
      </c>
    </row>
    <row r="95" spans="1:12">
      <c r="A95">
        <v>8.5836909871244635E-2</v>
      </c>
      <c r="B95">
        <v>0.625</v>
      </c>
      <c r="C95">
        <v>0.81758241758241756</v>
      </c>
      <c r="D95">
        <v>0.73478260869565215</v>
      </c>
      <c r="E95">
        <v>0.60739299610894937</v>
      </c>
      <c r="F95">
        <v>0.12096774193548386</v>
      </c>
      <c r="G95">
        <v>3.6585365853658534E-2</v>
      </c>
      <c r="H95">
        <v>1</v>
      </c>
      <c r="I95">
        <v>0</v>
      </c>
      <c r="J95">
        <v>0</v>
      </c>
      <c r="K95">
        <v>0.24081890925823629</v>
      </c>
      <c r="L95">
        <v>2.4019420133989479E-2</v>
      </c>
    </row>
    <row r="96" spans="1:12">
      <c r="A96">
        <v>6.4377682403433473E-2</v>
      </c>
      <c r="B96">
        <v>0.625</v>
      </c>
      <c r="C96">
        <v>0.85054945054945053</v>
      </c>
      <c r="D96">
        <v>0.77826086956521734</v>
      </c>
      <c r="E96">
        <v>0.64941634241245139</v>
      </c>
      <c r="F96">
        <v>0.12096774193548386</v>
      </c>
      <c r="G96">
        <v>3.6585365853658534E-2</v>
      </c>
      <c r="H96">
        <v>1</v>
      </c>
      <c r="I96">
        <v>0</v>
      </c>
      <c r="J96">
        <v>0</v>
      </c>
      <c r="K96">
        <v>0.24353184300549655</v>
      </c>
      <c r="L96">
        <v>3.2096213261029807E-2</v>
      </c>
    </row>
    <row r="97" spans="1:12">
      <c r="A97">
        <v>8.5836909871244635E-2</v>
      </c>
      <c r="B97">
        <v>0.625</v>
      </c>
      <c r="C97">
        <v>0.64175824175824181</v>
      </c>
      <c r="D97">
        <v>0.56086956521739129</v>
      </c>
      <c r="E97">
        <v>0.42957198443579764</v>
      </c>
      <c r="F97">
        <v>0.12096774193548386</v>
      </c>
      <c r="G97">
        <v>3.6585365853658534E-2</v>
      </c>
      <c r="H97">
        <v>1</v>
      </c>
      <c r="I97">
        <v>0</v>
      </c>
      <c r="J97">
        <v>0</v>
      </c>
      <c r="K97">
        <v>0.23252389223319436</v>
      </c>
      <c r="L97">
        <v>2.1517070794454946E-2</v>
      </c>
    </row>
    <row r="98" spans="1:12">
      <c r="A98">
        <v>0.19313304721030042</v>
      </c>
      <c r="B98">
        <v>0.375</v>
      </c>
      <c r="C98">
        <v>0.34505494505494505</v>
      </c>
      <c r="D98">
        <v>0.2565217391304348</v>
      </c>
      <c r="E98">
        <v>0.29338521400778211</v>
      </c>
      <c r="F98">
        <v>0.34274193548387094</v>
      </c>
      <c r="G98">
        <v>3.6585365853658534E-2</v>
      </c>
      <c r="H98">
        <v>1</v>
      </c>
      <c r="I98">
        <v>0</v>
      </c>
      <c r="J98">
        <v>0</v>
      </c>
      <c r="K98">
        <v>0.2554228231611006</v>
      </c>
      <c r="L98">
        <v>3.8800161880008844E-3</v>
      </c>
    </row>
    <row r="99" spans="1:12">
      <c r="A99">
        <v>0.15021459227467809</v>
      </c>
      <c r="B99">
        <v>0.375</v>
      </c>
      <c r="C99">
        <v>0.4</v>
      </c>
      <c r="D99">
        <v>0.23478260869565218</v>
      </c>
      <c r="E99">
        <v>0.32392996108949418</v>
      </c>
      <c r="F99">
        <v>0.40322580645161288</v>
      </c>
      <c r="G99">
        <v>3.6585365853658534E-2</v>
      </c>
      <c r="H99">
        <v>1</v>
      </c>
      <c r="I99">
        <v>0</v>
      </c>
      <c r="J99">
        <v>0</v>
      </c>
      <c r="K99">
        <v>0.24675885435679087</v>
      </c>
      <c r="L99">
        <v>9.3207945409796798E-3</v>
      </c>
    </row>
    <row r="100" spans="1:12">
      <c r="A100">
        <v>0.19313304721030042</v>
      </c>
      <c r="B100">
        <v>0.375</v>
      </c>
      <c r="C100">
        <v>0.36043956043956044</v>
      </c>
      <c r="D100">
        <v>0.23478260869565218</v>
      </c>
      <c r="E100">
        <v>0.25914396887159535</v>
      </c>
      <c r="F100">
        <v>0.32258064516129031</v>
      </c>
      <c r="G100">
        <v>3.6585365853658534E-2</v>
      </c>
      <c r="H100">
        <v>1</v>
      </c>
      <c r="I100">
        <v>0</v>
      </c>
      <c r="J100">
        <v>0</v>
      </c>
      <c r="K100">
        <v>0.2519190335976122</v>
      </c>
      <c r="L100">
        <v>3.4557921955292057E-3</v>
      </c>
    </row>
    <row r="101" spans="1:12">
      <c r="A101">
        <v>0.19313304721030042</v>
      </c>
      <c r="B101">
        <v>0.375</v>
      </c>
      <c r="C101">
        <v>0.4</v>
      </c>
      <c r="D101">
        <v>0.18260869565217391</v>
      </c>
      <c r="E101">
        <v>0.27392996108949419</v>
      </c>
      <c r="F101">
        <v>0.34274193548387094</v>
      </c>
      <c r="G101">
        <v>3.6585365853658534E-2</v>
      </c>
      <c r="H101">
        <v>1</v>
      </c>
      <c r="I101">
        <v>0</v>
      </c>
      <c r="J101">
        <v>0</v>
      </c>
      <c r="K101">
        <v>0.23881122309538538</v>
      </c>
      <c r="L101">
        <v>2.0864957521887577E-3</v>
      </c>
    </row>
    <row r="102" spans="1:12">
      <c r="A102">
        <v>0.30042918454935619</v>
      </c>
      <c r="B102">
        <v>0.375</v>
      </c>
      <c r="C102">
        <v>0.2857142857142857</v>
      </c>
      <c r="D102">
        <v>0.21304347826086956</v>
      </c>
      <c r="E102">
        <v>0.25116731517509727</v>
      </c>
      <c r="F102">
        <v>0.32258064516129031</v>
      </c>
      <c r="G102">
        <v>3.6585365853658534E-2</v>
      </c>
      <c r="H102">
        <v>1</v>
      </c>
      <c r="I102">
        <v>0</v>
      </c>
      <c r="J102">
        <v>0</v>
      </c>
      <c r="K102">
        <v>0.25372440016395043</v>
      </c>
      <c r="L102">
        <v>2.181336884487242E-3</v>
      </c>
    </row>
    <row r="103" spans="1:12">
      <c r="A103">
        <v>0.36480686695278969</v>
      </c>
      <c r="B103">
        <v>0.125</v>
      </c>
      <c r="C103">
        <v>6.3736263736263732E-2</v>
      </c>
      <c r="D103">
        <v>0</v>
      </c>
      <c r="E103">
        <v>6.5564202334630353E-2</v>
      </c>
      <c r="F103">
        <v>0.52419354838709675</v>
      </c>
      <c r="G103">
        <v>3.6585365853658534E-2</v>
      </c>
      <c r="H103">
        <v>0</v>
      </c>
      <c r="I103">
        <v>1</v>
      </c>
      <c r="J103">
        <v>0</v>
      </c>
      <c r="K103">
        <v>0.32378596054775366</v>
      </c>
      <c r="L103">
        <v>1.6827147622907259E-3</v>
      </c>
    </row>
    <row r="104" spans="1:12">
      <c r="A104">
        <v>4.2918454935622317E-2</v>
      </c>
      <c r="B104">
        <v>0.625</v>
      </c>
      <c r="C104">
        <v>0.72967032967032963</v>
      </c>
      <c r="D104">
        <v>0.45217391304347826</v>
      </c>
      <c r="E104">
        <v>0.65836575875486381</v>
      </c>
      <c r="F104">
        <v>0.24193548387096772</v>
      </c>
      <c r="G104">
        <v>3.6585365853658534E-2</v>
      </c>
      <c r="H104">
        <v>1</v>
      </c>
      <c r="I104">
        <v>0</v>
      </c>
      <c r="J104">
        <v>0</v>
      </c>
      <c r="K104">
        <v>0.19333652783733746</v>
      </c>
      <c r="L104">
        <v>2.262559665546569E-2</v>
      </c>
    </row>
    <row r="105" spans="1:12">
      <c r="A105">
        <v>6.4377682403433473E-2</v>
      </c>
      <c r="B105">
        <v>0.625</v>
      </c>
      <c r="C105">
        <v>0.72967032967032963</v>
      </c>
      <c r="D105">
        <v>0.52608695652173909</v>
      </c>
      <c r="E105">
        <v>0.64066147859922185</v>
      </c>
      <c r="F105">
        <v>0.18145161290322581</v>
      </c>
      <c r="G105">
        <v>3.6585365853658534E-2</v>
      </c>
      <c r="H105">
        <v>1</v>
      </c>
      <c r="I105">
        <v>0</v>
      </c>
      <c r="J105">
        <v>0</v>
      </c>
      <c r="K105">
        <v>0.20662387251763087</v>
      </c>
      <c r="L105">
        <v>2.023397860200439E-2</v>
      </c>
    </row>
    <row r="106" spans="1:12">
      <c r="A106">
        <v>8.5836909871244635E-2</v>
      </c>
      <c r="B106">
        <v>0.625</v>
      </c>
      <c r="C106">
        <v>0.64175824175824181</v>
      </c>
      <c r="D106">
        <v>0.53913043478260869</v>
      </c>
      <c r="E106">
        <v>0.59163424124513619</v>
      </c>
      <c r="F106">
        <v>0.20161290322580644</v>
      </c>
      <c r="G106">
        <v>3.6585365853658534E-2</v>
      </c>
      <c r="H106">
        <v>1</v>
      </c>
      <c r="I106">
        <v>0</v>
      </c>
      <c r="J106">
        <v>0</v>
      </c>
      <c r="K106">
        <v>0.21895551674548114</v>
      </c>
      <c r="L106">
        <v>1.7720563496137522E-2</v>
      </c>
    </row>
    <row r="107" spans="1:12">
      <c r="A107">
        <v>6.4377682403433473E-2</v>
      </c>
      <c r="B107">
        <v>0.625</v>
      </c>
      <c r="C107">
        <v>0.6197802197802198</v>
      </c>
      <c r="D107">
        <v>0.58260869565217388</v>
      </c>
      <c r="E107">
        <v>0.56147859922178989</v>
      </c>
      <c r="F107">
        <v>0.18145161290322581</v>
      </c>
      <c r="G107">
        <v>3.6585365853658534E-2</v>
      </c>
      <c r="H107">
        <v>1</v>
      </c>
      <c r="I107">
        <v>0</v>
      </c>
      <c r="J107">
        <v>0</v>
      </c>
      <c r="K107">
        <v>0.22998666775971993</v>
      </c>
      <c r="L107">
        <v>2.7426336030738702E-2</v>
      </c>
    </row>
    <row r="108" spans="1:12">
      <c r="A108">
        <v>0.19313304721030042</v>
      </c>
      <c r="B108">
        <v>0.375</v>
      </c>
      <c r="C108">
        <v>0.36043956043956044</v>
      </c>
      <c r="D108">
        <v>0.23478260869565218</v>
      </c>
      <c r="E108">
        <v>0.22879377431906614</v>
      </c>
      <c r="F108">
        <v>0.282258064516129</v>
      </c>
      <c r="G108">
        <v>3.6585365853658534E-2</v>
      </c>
      <c r="H108">
        <v>1</v>
      </c>
      <c r="I108">
        <v>0</v>
      </c>
      <c r="J108">
        <v>0</v>
      </c>
      <c r="K108">
        <v>0.25235727944432851</v>
      </c>
      <c r="L108">
        <v>3.5075096837100918E-3</v>
      </c>
    </row>
    <row r="109" spans="1:12">
      <c r="A109">
        <v>0.23605150214592274</v>
      </c>
      <c r="B109">
        <v>0.125</v>
      </c>
      <c r="C109">
        <v>6.3736263736263732E-2</v>
      </c>
      <c r="D109">
        <v>0.18260869565217391</v>
      </c>
      <c r="E109">
        <v>0.12957198443579768</v>
      </c>
      <c r="F109">
        <v>0.44354838709677419</v>
      </c>
      <c r="G109">
        <v>3.6585365853658534E-2</v>
      </c>
      <c r="H109">
        <v>0</v>
      </c>
      <c r="I109">
        <v>0</v>
      </c>
      <c r="J109">
        <v>1</v>
      </c>
      <c r="K109">
        <v>0.32489070365402317</v>
      </c>
      <c r="L109">
        <v>7.892403724596873E-3</v>
      </c>
    </row>
    <row r="110" spans="1:12">
      <c r="A110">
        <v>0.25751072961373389</v>
      </c>
      <c r="B110">
        <v>0.125</v>
      </c>
      <c r="C110">
        <v>0.15824175824175823</v>
      </c>
      <c r="D110">
        <v>0.11304347826086956</v>
      </c>
      <c r="E110">
        <v>0.15330739299610896</v>
      </c>
      <c r="F110">
        <v>0.46370967741935482</v>
      </c>
      <c r="G110">
        <v>3.6585365853658534E-2</v>
      </c>
      <c r="H110">
        <v>1</v>
      </c>
      <c r="I110">
        <v>0</v>
      </c>
      <c r="J110">
        <v>0</v>
      </c>
      <c r="K110">
        <v>0.29752949395761119</v>
      </c>
      <c r="L110">
        <v>1.6015014996107852E-3</v>
      </c>
    </row>
    <row r="111" spans="1:12">
      <c r="A111">
        <v>0.27896995708154504</v>
      </c>
      <c r="B111">
        <v>0.125</v>
      </c>
      <c r="C111">
        <v>8.7912087912087919E-2</v>
      </c>
      <c r="D111">
        <v>0.20869565217391303</v>
      </c>
      <c r="E111">
        <v>0.1490272373540856</v>
      </c>
      <c r="F111">
        <v>0.34274193548387094</v>
      </c>
      <c r="G111">
        <v>3.6585365853658534E-2</v>
      </c>
      <c r="H111">
        <v>0</v>
      </c>
      <c r="I111">
        <v>0</v>
      </c>
      <c r="J111">
        <v>1</v>
      </c>
      <c r="K111">
        <v>0.32430753002020851</v>
      </c>
      <c r="L111">
        <v>2.0554955199686303E-3</v>
      </c>
    </row>
    <row r="112" spans="1:12">
      <c r="A112">
        <v>0.19313304721030042</v>
      </c>
      <c r="B112">
        <v>0</v>
      </c>
      <c r="C112">
        <v>4.3956043956043956E-3</v>
      </c>
      <c r="D112">
        <v>0.19130434782608696</v>
      </c>
      <c r="E112">
        <v>9.9416342412451356E-2</v>
      </c>
      <c r="F112">
        <v>0.22177419354838709</v>
      </c>
      <c r="G112">
        <v>3.6585365853658534E-2</v>
      </c>
      <c r="H112">
        <v>0</v>
      </c>
      <c r="I112">
        <v>0</v>
      </c>
      <c r="J112">
        <v>1</v>
      </c>
      <c r="K112">
        <v>0.32328741263437599</v>
      </c>
      <c r="L112">
        <v>1.69401588389438E-2</v>
      </c>
    </row>
    <row r="113" spans="1:12">
      <c r="A113">
        <v>0.21459227467811159</v>
      </c>
      <c r="B113">
        <v>0.125</v>
      </c>
      <c r="C113">
        <v>0.11868131868131868</v>
      </c>
      <c r="D113">
        <v>0.16956521739130434</v>
      </c>
      <c r="E113">
        <v>0.13560311284046692</v>
      </c>
      <c r="F113">
        <v>0.42338709677419356</v>
      </c>
      <c r="G113">
        <v>3.6585365853658534E-2</v>
      </c>
      <c r="H113">
        <v>1</v>
      </c>
      <c r="I113">
        <v>0</v>
      </c>
      <c r="J113">
        <v>0</v>
      </c>
      <c r="K113">
        <v>0.31099240695991981</v>
      </c>
      <c r="L113">
        <v>9.2929855039501231E-3</v>
      </c>
    </row>
    <row r="114" spans="1:12">
      <c r="A114">
        <v>0.25751072961373389</v>
      </c>
      <c r="B114">
        <v>0.375</v>
      </c>
      <c r="C114">
        <v>0.1912087912087912</v>
      </c>
      <c r="D114">
        <v>0.26521739130434785</v>
      </c>
      <c r="E114">
        <v>0.16712062256809337</v>
      </c>
      <c r="F114">
        <v>0.24193548387096772</v>
      </c>
      <c r="G114">
        <v>3.6585365853658534E-2</v>
      </c>
      <c r="H114">
        <v>1</v>
      </c>
      <c r="I114">
        <v>0</v>
      </c>
      <c r="J114">
        <v>0</v>
      </c>
      <c r="K114">
        <v>0.27311315793839042</v>
      </c>
      <c r="L114">
        <v>2.4343576962604423E-4</v>
      </c>
    </row>
    <row r="115" spans="1:12">
      <c r="A115">
        <v>0.36480686695278969</v>
      </c>
      <c r="B115">
        <v>0.125</v>
      </c>
      <c r="C115">
        <v>6.5934065934065936E-2</v>
      </c>
      <c r="D115">
        <v>0.19130434782608696</v>
      </c>
      <c r="E115">
        <v>0.12684824902723735</v>
      </c>
      <c r="F115">
        <v>0.30241935483870969</v>
      </c>
      <c r="G115">
        <v>3.6585365853658534E-2</v>
      </c>
      <c r="H115">
        <v>0</v>
      </c>
      <c r="I115">
        <v>1</v>
      </c>
      <c r="J115">
        <v>0</v>
      </c>
      <c r="K115">
        <v>0.31736223865057089</v>
      </c>
      <c r="L115">
        <v>2.2509927547357004E-3</v>
      </c>
    </row>
    <row r="116" spans="1:12">
      <c r="A116">
        <v>0.12875536480686695</v>
      </c>
      <c r="B116">
        <v>0.625</v>
      </c>
      <c r="C116">
        <v>0.6197802197802198</v>
      </c>
      <c r="D116">
        <v>0.43043478260869567</v>
      </c>
      <c r="E116">
        <v>0.4803501945525292</v>
      </c>
      <c r="F116">
        <v>0.20161290322580644</v>
      </c>
      <c r="G116">
        <v>3.6585365853658534E-2</v>
      </c>
      <c r="H116">
        <v>1</v>
      </c>
      <c r="I116">
        <v>0</v>
      </c>
      <c r="J116">
        <v>0</v>
      </c>
      <c r="K116">
        <v>0.20707440451703088</v>
      </c>
      <c r="L116">
        <v>6.1338719811222355E-3</v>
      </c>
    </row>
    <row r="117" spans="1:12">
      <c r="A117">
        <v>0.15021459227467809</v>
      </c>
      <c r="B117">
        <v>0.625</v>
      </c>
      <c r="C117">
        <v>0.72967032967032963</v>
      </c>
      <c r="D117">
        <v>0.8</v>
      </c>
      <c r="E117">
        <v>0.51848249027237359</v>
      </c>
      <c r="F117">
        <v>6.048387096774193E-2</v>
      </c>
      <c r="G117">
        <v>3.6585365853658534E-2</v>
      </c>
      <c r="H117">
        <v>1</v>
      </c>
      <c r="I117">
        <v>0</v>
      </c>
      <c r="J117">
        <v>0</v>
      </c>
      <c r="K117">
        <v>0.26177613362062979</v>
      </c>
      <c r="L117">
        <v>1.2445977507484491E-2</v>
      </c>
    </row>
    <row r="118" spans="1:12">
      <c r="A118">
        <v>0.42918454935622319</v>
      </c>
      <c r="B118">
        <v>0.125</v>
      </c>
      <c r="C118">
        <v>0</v>
      </c>
      <c r="D118">
        <v>1.3043478260869565E-2</v>
      </c>
      <c r="E118">
        <v>4.941634241245136E-2</v>
      </c>
      <c r="F118">
        <v>0.46370967741935482</v>
      </c>
      <c r="G118">
        <v>3.6585365853658534E-2</v>
      </c>
      <c r="H118">
        <v>0</v>
      </c>
      <c r="I118">
        <v>1</v>
      </c>
      <c r="J118">
        <v>0</v>
      </c>
      <c r="K118">
        <v>0.32220013785785567</v>
      </c>
      <c r="L118">
        <v>1.1445664303652032E-2</v>
      </c>
    </row>
    <row r="119" spans="1:12">
      <c r="A119">
        <v>0.32188841201716739</v>
      </c>
      <c r="B119">
        <v>0.125</v>
      </c>
      <c r="C119">
        <v>0.10549450549450549</v>
      </c>
      <c r="D119">
        <v>0.12608695652173912</v>
      </c>
      <c r="E119">
        <v>0.10603112840466926</v>
      </c>
      <c r="F119">
        <v>0.30241935483870969</v>
      </c>
      <c r="G119">
        <v>3.6585365853658534E-2</v>
      </c>
      <c r="H119">
        <v>0</v>
      </c>
      <c r="I119">
        <v>1</v>
      </c>
      <c r="J119">
        <v>0</v>
      </c>
      <c r="K119">
        <v>0.31749674578077747</v>
      </c>
      <c r="L119">
        <v>1.9286732331847238E-5</v>
      </c>
    </row>
    <row r="120" spans="1:12">
      <c r="A120">
        <v>0.23605150214592274</v>
      </c>
      <c r="B120">
        <v>0.125</v>
      </c>
      <c r="C120">
        <v>0.1010989010989011</v>
      </c>
      <c r="D120">
        <v>0.19565217391304349</v>
      </c>
      <c r="E120">
        <v>0.18852140077821011</v>
      </c>
      <c r="F120">
        <v>0.24193548387096772</v>
      </c>
      <c r="G120">
        <v>3.6585365853658534E-2</v>
      </c>
      <c r="H120">
        <v>0</v>
      </c>
      <c r="I120">
        <v>1</v>
      </c>
      <c r="J120">
        <v>0</v>
      </c>
      <c r="K120">
        <v>0.31684989873085545</v>
      </c>
      <c r="L120">
        <v>6.5283808906960658E-3</v>
      </c>
    </row>
    <row r="121" spans="1:12">
      <c r="A121">
        <v>0.21459227467811159</v>
      </c>
      <c r="B121">
        <v>0.125</v>
      </c>
      <c r="C121">
        <v>0.11648351648351649</v>
      </c>
      <c r="D121">
        <v>0.28695652173913044</v>
      </c>
      <c r="E121">
        <v>0.24416342412451361</v>
      </c>
      <c r="F121">
        <v>0.30241935483870969</v>
      </c>
      <c r="G121">
        <v>3.6585365853658534E-2</v>
      </c>
      <c r="H121">
        <v>0</v>
      </c>
      <c r="I121">
        <v>1</v>
      </c>
      <c r="J121">
        <v>0</v>
      </c>
      <c r="K121">
        <v>0.31738133959040504</v>
      </c>
      <c r="L121">
        <v>1.0565591865543676E-2</v>
      </c>
    </row>
    <row r="122" spans="1:12">
      <c r="A122">
        <v>0.12875536480686695</v>
      </c>
      <c r="B122">
        <v>0.625</v>
      </c>
      <c r="C122">
        <v>0.5494505494505495</v>
      </c>
      <c r="D122">
        <v>0.45217391304347826</v>
      </c>
      <c r="E122">
        <v>0.34747081712062255</v>
      </c>
      <c r="F122">
        <v>0.12096774193548386</v>
      </c>
      <c r="G122">
        <v>3.6585365853658534E-2</v>
      </c>
      <c r="H122">
        <v>1</v>
      </c>
      <c r="I122">
        <v>0</v>
      </c>
      <c r="J122">
        <v>0</v>
      </c>
      <c r="K122">
        <v>0.22284852322071913</v>
      </c>
      <c r="L122">
        <v>8.8535224602942827E-3</v>
      </c>
    </row>
    <row r="123" spans="1:12">
      <c r="A123">
        <v>0.32188841201716739</v>
      </c>
      <c r="B123">
        <v>0.125</v>
      </c>
      <c r="C123">
        <v>0.11648351648351649</v>
      </c>
      <c r="D123">
        <v>0.27826086956521739</v>
      </c>
      <c r="E123">
        <v>0.20369649805447471</v>
      </c>
      <c r="F123">
        <v>0.24193548387096772</v>
      </c>
      <c r="G123">
        <v>3.6585365853658534E-2</v>
      </c>
      <c r="H123">
        <v>0</v>
      </c>
      <c r="I123">
        <v>1</v>
      </c>
      <c r="J123">
        <v>0</v>
      </c>
      <c r="K123">
        <v>0.31555640414262903</v>
      </c>
      <c r="L123">
        <v>4.0094323723215788E-5</v>
      </c>
    </row>
    <row r="124" spans="1:12">
      <c r="A124">
        <v>0.23605150214592274</v>
      </c>
      <c r="B124">
        <v>0.375</v>
      </c>
      <c r="C124">
        <v>0.19340659340659341</v>
      </c>
      <c r="D124">
        <v>0.33043478260869563</v>
      </c>
      <c r="E124">
        <v>0.23229571984435798</v>
      </c>
      <c r="F124">
        <v>0.22177419354838709</v>
      </c>
      <c r="G124">
        <v>3.6585365853658534E-2</v>
      </c>
      <c r="H124">
        <v>0</v>
      </c>
      <c r="I124">
        <v>0</v>
      </c>
      <c r="J124">
        <v>1</v>
      </c>
      <c r="K124">
        <v>0.32221400512635312</v>
      </c>
      <c r="L124">
        <v>7.4239769198526737E-3</v>
      </c>
    </row>
    <row r="125" spans="1:12">
      <c r="A125">
        <v>4.2918454935622317E-2</v>
      </c>
      <c r="B125">
        <v>0.625</v>
      </c>
      <c r="C125">
        <v>0.6197802197802198</v>
      </c>
      <c r="D125">
        <v>0.58260869565217388</v>
      </c>
      <c r="E125">
        <v>0.39902723735408563</v>
      </c>
      <c r="F125">
        <v>0.12096774193548386</v>
      </c>
      <c r="G125">
        <v>3.6585365853658534E-2</v>
      </c>
      <c r="H125">
        <v>1</v>
      </c>
      <c r="I125">
        <v>0</v>
      </c>
      <c r="J125">
        <v>0</v>
      </c>
      <c r="K125">
        <v>0.23838753099747639</v>
      </c>
      <c r="L125">
        <v>3.820815969647489E-2</v>
      </c>
    </row>
    <row r="126" spans="1:12">
      <c r="A126">
        <v>0.23605150214592274</v>
      </c>
      <c r="B126">
        <v>0.375</v>
      </c>
      <c r="C126">
        <v>0.2857142857142857</v>
      </c>
      <c r="D126">
        <v>0.21304347826086956</v>
      </c>
      <c r="E126">
        <v>0.28968871595330742</v>
      </c>
      <c r="F126">
        <v>0.34274193548387094</v>
      </c>
      <c r="G126">
        <v>4.878048780487805E-2</v>
      </c>
      <c r="H126">
        <v>1</v>
      </c>
      <c r="I126">
        <v>0</v>
      </c>
      <c r="J126">
        <v>0</v>
      </c>
      <c r="K126">
        <v>0.25033883939861196</v>
      </c>
      <c r="L126">
        <v>2.0412800577208098E-4</v>
      </c>
    </row>
    <row r="127" spans="1:12">
      <c r="A127">
        <v>0.21459227467811159</v>
      </c>
      <c r="B127">
        <v>0.375</v>
      </c>
      <c r="C127">
        <v>0.36043956043956044</v>
      </c>
      <c r="D127">
        <v>0.23478260869565218</v>
      </c>
      <c r="E127">
        <v>0.25058365758754864</v>
      </c>
      <c r="F127">
        <v>0.32258064516129031</v>
      </c>
      <c r="G127">
        <v>4.878048780487805E-2</v>
      </c>
      <c r="H127">
        <v>1</v>
      </c>
      <c r="I127">
        <v>0</v>
      </c>
      <c r="J127">
        <v>0</v>
      </c>
      <c r="K127">
        <v>0.25104372573310707</v>
      </c>
      <c r="L127">
        <v>1.3287082840147308E-3</v>
      </c>
    </row>
    <row r="128" spans="1:12">
      <c r="A128">
        <v>0.12875536480686695</v>
      </c>
      <c r="B128">
        <v>0.375</v>
      </c>
      <c r="C128">
        <v>0.4</v>
      </c>
      <c r="D128">
        <v>0.23478260869565218</v>
      </c>
      <c r="E128">
        <v>0.33521400778210114</v>
      </c>
      <c r="F128">
        <v>0.36290322580645162</v>
      </c>
      <c r="G128">
        <v>4.878048780487805E-2</v>
      </c>
      <c r="H128">
        <v>1</v>
      </c>
      <c r="I128">
        <v>0</v>
      </c>
      <c r="J128">
        <v>0</v>
      </c>
      <c r="K128">
        <v>0.24347973766097847</v>
      </c>
      <c r="L128">
        <v>1.31616817267692E-2</v>
      </c>
    </row>
    <row r="129" spans="1:12">
      <c r="A129">
        <v>0.47210300429184548</v>
      </c>
      <c r="B129">
        <v>0.125</v>
      </c>
      <c r="C129">
        <v>2.4175824175824177E-2</v>
      </c>
      <c r="D129">
        <v>9.1304347826086957E-2</v>
      </c>
      <c r="E129">
        <v>6.5564202334630353E-2</v>
      </c>
      <c r="F129">
        <v>0.44354838709677419</v>
      </c>
      <c r="G129">
        <v>4.878048780487805E-2</v>
      </c>
      <c r="H129">
        <v>0</v>
      </c>
      <c r="I129">
        <v>0</v>
      </c>
      <c r="J129">
        <v>1</v>
      </c>
      <c r="K129">
        <v>0.32454780447953219</v>
      </c>
      <c r="L129">
        <v>2.1772536991651704E-2</v>
      </c>
    </row>
    <row r="130" spans="1:12">
      <c r="A130">
        <v>0.36480686695278969</v>
      </c>
      <c r="B130">
        <v>0.125</v>
      </c>
      <c r="C130">
        <v>0.11868131868131868</v>
      </c>
      <c r="D130">
        <v>0.14782608695652175</v>
      </c>
      <c r="E130">
        <v>0.16303501945525292</v>
      </c>
      <c r="F130">
        <v>0.34274193548387094</v>
      </c>
      <c r="G130">
        <v>4.878048780487805E-2</v>
      </c>
      <c r="H130">
        <v>1</v>
      </c>
      <c r="I130">
        <v>0</v>
      </c>
      <c r="J130">
        <v>0</v>
      </c>
      <c r="K130">
        <v>0.30266256036460726</v>
      </c>
      <c r="L130">
        <v>3.8619148413260142E-3</v>
      </c>
    </row>
    <row r="131" spans="1:12">
      <c r="A131">
        <v>0.49356223175965663</v>
      </c>
      <c r="B131">
        <v>0.125</v>
      </c>
      <c r="C131">
        <v>6.5934065934065934E-3</v>
      </c>
      <c r="D131">
        <v>8.2608695652173908E-2</v>
      </c>
      <c r="E131">
        <v>4.33852140077821E-2</v>
      </c>
      <c r="F131">
        <v>0.52419354838709675</v>
      </c>
      <c r="G131">
        <v>4.878048780487805E-2</v>
      </c>
      <c r="H131">
        <v>0</v>
      </c>
      <c r="I131">
        <v>0</v>
      </c>
      <c r="J131">
        <v>1</v>
      </c>
      <c r="K131">
        <v>0.32499066687056377</v>
      </c>
      <c r="L131">
        <v>2.8416372489157644E-2</v>
      </c>
    </row>
    <row r="132" spans="1:12">
      <c r="A132">
        <v>0.34334763948497854</v>
      </c>
      <c r="B132">
        <v>0.125</v>
      </c>
      <c r="C132">
        <v>0.15824175824175823</v>
      </c>
      <c r="D132">
        <v>0.12608695652173912</v>
      </c>
      <c r="E132">
        <v>0.18073929961089494</v>
      </c>
      <c r="F132">
        <v>0.36290322580645162</v>
      </c>
      <c r="G132">
        <v>4.878048780487805E-2</v>
      </c>
      <c r="H132">
        <v>1</v>
      </c>
      <c r="I132">
        <v>0</v>
      </c>
      <c r="J132">
        <v>0</v>
      </c>
      <c r="K132">
        <v>0.29518957563663289</v>
      </c>
      <c r="L132">
        <v>2.3191991136213355E-3</v>
      </c>
    </row>
    <row r="133" spans="1:12">
      <c r="A133">
        <v>0.15021459227467809</v>
      </c>
      <c r="B133">
        <v>0.375</v>
      </c>
      <c r="C133">
        <v>0.4</v>
      </c>
      <c r="D133">
        <v>0.23478260869565218</v>
      </c>
      <c r="E133">
        <v>0.42178988326848249</v>
      </c>
      <c r="F133">
        <v>0.36290322580645162</v>
      </c>
      <c r="G133">
        <v>4.878048780487805E-2</v>
      </c>
      <c r="H133">
        <v>1</v>
      </c>
      <c r="I133">
        <v>0</v>
      </c>
      <c r="J133">
        <v>0</v>
      </c>
      <c r="K133">
        <v>0.23789425689332294</v>
      </c>
      <c r="L133">
        <v>7.6877235876380411E-3</v>
      </c>
    </row>
    <row r="134" spans="1:12">
      <c r="A134">
        <v>0.15021459227467809</v>
      </c>
      <c r="B134">
        <v>0.375</v>
      </c>
      <c r="C134">
        <v>0.4175824175824176</v>
      </c>
      <c r="D134">
        <v>0.27826086956521739</v>
      </c>
      <c r="E134">
        <v>0.39280155642023346</v>
      </c>
      <c r="F134">
        <v>0.40322580645161288</v>
      </c>
      <c r="G134">
        <v>4.878048780487805E-2</v>
      </c>
      <c r="H134">
        <v>1</v>
      </c>
      <c r="I134">
        <v>0</v>
      </c>
      <c r="J134">
        <v>0</v>
      </c>
      <c r="K134">
        <v>0.24747700173220255</v>
      </c>
      <c r="L134">
        <v>9.4599762934831425E-3</v>
      </c>
    </row>
    <row r="135" spans="1:12">
      <c r="A135">
        <v>0.19313304721030042</v>
      </c>
      <c r="B135">
        <v>0.375</v>
      </c>
      <c r="C135">
        <v>0.34505494505494505</v>
      </c>
      <c r="D135">
        <v>0.2565217391304348</v>
      </c>
      <c r="E135">
        <v>0.38910505836575876</v>
      </c>
      <c r="F135">
        <v>0.34274193548387094</v>
      </c>
      <c r="G135">
        <v>4.878048780487805E-2</v>
      </c>
      <c r="H135">
        <v>1</v>
      </c>
      <c r="I135">
        <v>0</v>
      </c>
      <c r="J135">
        <v>0</v>
      </c>
      <c r="K135">
        <v>0.2474434707045079</v>
      </c>
      <c r="L135">
        <v>2.9496221001201633E-3</v>
      </c>
    </row>
    <row r="136" spans="1:12">
      <c r="A136">
        <v>0.15021459227467809</v>
      </c>
      <c r="B136">
        <v>0.625</v>
      </c>
      <c r="C136">
        <v>0.51428571428571423</v>
      </c>
      <c r="D136">
        <v>0.40869565217391307</v>
      </c>
      <c r="E136">
        <v>0.49182879377431904</v>
      </c>
      <c r="F136">
        <v>0.24193548387096772</v>
      </c>
      <c r="G136">
        <v>4.878048780487805E-2</v>
      </c>
      <c r="H136">
        <v>1</v>
      </c>
      <c r="I136">
        <v>0</v>
      </c>
      <c r="J136">
        <v>0</v>
      </c>
      <c r="K136">
        <v>0.2101777823966279</v>
      </c>
      <c r="L136">
        <v>3.5955841696010994E-3</v>
      </c>
    </row>
    <row r="137" spans="1:12">
      <c r="A137">
        <v>8.5836909871244635E-2</v>
      </c>
      <c r="B137">
        <v>0.625</v>
      </c>
      <c r="C137">
        <v>0.6197802197802198</v>
      </c>
      <c r="D137">
        <v>0.45217391304347826</v>
      </c>
      <c r="E137">
        <v>0.60038910505836574</v>
      </c>
      <c r="F137">
        <v>0.26209677419354838</v>
      </c>
      <c r="G137">
        <v>4.878048780487805E-2</v>
      </c>
      <c r="H137">
        <v>1</v>
      </c>
      <c r="I137">
        <v>0</v>
      </c>
      <c r="J137">
        <v>0</v>
      </c>
      <c r="K137">
        <v>0.20378258976421748</v>
      </c>
      <c r="L137">
        <v>1.3911183405415618E-2</v>
      </c>
    </row>
    <row r="138" spans="1:12">
      <c r="A138">
        <v>0.1072961373390558</v>
      </c>
      <c r="B138">
        <v>0.625</v>
      </c>
      <c r="C138">
        <v>0.5494505494505495</v>
      </c>
      <c r="D138">
        <v>0.45217391304347826</v>
      </c>
      <c r="E138">
        <v>0.55330739299610898</v>
      </c>
      <c r="F138">
        <v>0.22177419354838709</v>
      </c>
      <c r="G138">
        <v>4.878048780487805E-2</v>
      </c>
      <c r="H138">
        <v>1</v>
      </c>
      <c r="I138">
        <v>0</v>
      </c>
      <c r="J138">
        <v>0</v>
      </c>
      <c r="K138">
        <v>0.2109372325236491</v>
      </c>
      <c r="L138">
        <v>1.0741476611061928E-2</v>
      </c>
    </row>
    <row r="139" spans="1:12">
      <c r="A139">
        <v>0.1072961373390558</v>
      </c>
      <c r="B139">
        <v>0.625</v>
      </c>
      <c r="C139">
        <v>0.51428571428571423</v>
      </c>
      <c r="D139">
        <v>0.40869565217391307</v>
      </c>
      <c r="E139">
        <v>0.58852140077821014</v>
      </c>
      <c r="F139">
        <v>0.32258064516129031</v>
      </c>
      <c r="G139">
        <v>4.878048780487805E-2</v>
      </c>
      <c r="H139">
        <v>1</v>
      </c>
      <c r="I139">
        <v>0</v>
      </c>
      <c r="J139">
        <v>0</v>
      </c>
      <c r="K139">
        <v>0.20535632199001974</v>
      </c>
      <c r="L139">
        <v>9.6157998137811444E-3</v>
      </c>
    </row>
    <row r="140" spans="1:12">
      <c r="A140">
        <v>0.1072961373390558</v>
      </c>
      <c r="B140">
        <v>0.625</v>
      </c>
      <c r="C140">
        <v>0.51868131868131873</v>
      </c>
      <c r="D140">
        <v>0.45217391304347826</v>
      </c>
      <c r="E140">
        <v>0.51439688715953302</v>
      </c>
      <c r="F140">
        <v>0.30241935483870969</v>
      </c>
      <c r="G140">
        <v>4.878048780487805E-2</v>
      </c>
      <c r="H140">
        <v>1</v>
      </c>
      <c r="I140">
        <v>0</v>
      </c>
      <c r="J140">
        <v>0</v>
      </c>
      <c r="K140">
        <v>0.21744333286421696</v>
      </c>
      <c r="L140">
        <v>1.2132404682058085E-2</v>
      </c>
    </row>
    <row r="141" spans="1:12">
      <c r="A141">
        <v>0.42918454935622319</v>
      </c>
      <c r="B141">
        <v>0.125</v>
      </c>
      <c r="C141">
        <v>6.5934065934065936E-2</v>
      </c>
      <c r="D141">
        <v>0.16086956521739129</v>
      </c>
      <c r="E141">
        <v>0.1178988326848249</v>
      </c>
      <c r="F141">
        <v>0.34274193548387094</v>
      </c>
      <c r="G141">
        <v>4.878048780487805E-2</v>
      </c>
      <c r="H141">
        <v>0</v>
      </c>
      <c r="I141">
        <v>1</v>
      </c>
      <c r="J141">
        <v>0</v>
      </c>
      <c r="K141">
        <v>0.31764347444273056</v>
      </c>
      <c r="L141">
        <v>1.2441411392857376E-2</v>
      </c>
    </row>
    <row r="142" spans="1:12">
      <c r="A142">
        <v>0.36480686695278969</v>
      </c>
      <c r="B142">
        <v>0.125</v>
      </c>
      <c r="C142">
        <v>2.4175824175824177E-2</v>
      </c>
      <c r="D142">
        <v>9.1304347826086957E-2</v>
      </c>
      <c r="E142">
        <v>6.8093385214007776E-2</v>
      </c>
      <c r="F142">
        <v>0.30241935483870969</v>
      </c>
      <c r="G142">
        <v>4.878048780487805E-2</v>
      </c>
      <c r="H142">
        <v>0</v>
      </c>
      <c r="I142">
        <v>1</v>
      </c>
      <c r="J142">
        <v>0</v>
      </c>
      <c r="K142">
        <v>0.31757169063112189</v>
      </c>
      <c r="L142">
        <v>2.2311618821390456E-3</v>
      </c>
    </row>
    <row r="143" spans="1:12">
      <c r="A143">
        <v>0.36480686695278969</v>
      </c>
      <c r="B143">
        <v>0.125</v>
      </c>
      <c r="C143">
        <v>6.3736263736263732E-2</v>
      </c>
      <c r="D143">
        <v>0.1391304347826087</v>
      </c>
      <c r="E143">
        <v>0.13365758754863813</v>
      </c>
      <c r="F143">
        <v>0.26209677419354838</v>
      </c>
      <c r="G143">
        <v>4.878048780487805E-2</v>
      </c>
      <c r="H143">
        <v>0</v>
      </c>
      <c r="I143">
        <v>1</v>
      </c>
      <c r="J143">
        <v>0</v>
      </c>
      <c r="K143">
        <v>0.31687099773908606</v>
      </c>
      <c r="L143">
        <v>2.2978475572732996E-3</v>
      </c>
    </row>
    <row r="144" spans="1:12">
      <c r="A144">
        <v>0.47210300429184548</v>
      </c>
      <c r="B144">
        <v>0.125</v>
      </c>
      <c r="C144">
        <v>1.7582417582417582E-2</v>
      </c>
      <c r="D144">
        <v>2.6086956521739129E-2</v>
      </c>
      <c r="E144">
        <v>7.0038910505836579E-3</v>
      </c>
      <c r="F144">
        <v>0.34274193548387094</v>
      </c>
      <c r="G144">
        <v>4.878048780487805E-2</v>
      </c>
      <c r="H144">
        <v>0</v>
      </c>
      <c r="I144">
        <v>0</v>
      </c>
      <c r="J144">
        <v>1</v>
      </c>
      <c r="K144">
        <v>0.32455570060049799</v>
      </c>
      <c r="L144">
        <v>2.1770206826586726E-2</v>
      </c>
    </row>
    <row r="145" spans="1:12">
      <c r="A145">
        <v>0.49356223175965663</v>
      </c>
      <c r="B145">
        <v>0.125</v>
      </c>
      <c r="C145">
        <v>3.2967032967032968E-2</v>
      </c>
      <c r="D145">
        <v>6.5217391304347824E-2</v>
      </c>
      <c r="E145">
        <v>7.5875486381322951E-2</v>
      </c>
      <c r="F145">
        <v>0.44354838709677419</v>
      </c>
      <c r="G145">
        <v>4.878048780487805E-2</v>
      </c>
      <c r="H145">
        <v>0</v>
      </c>
      <c r="I145">
        <v>0</v>
      </c>
      <c r="J145">
        <v>1</v>
      </c>
      <c r="K145">
        <v>0.32495303246844759</v>
      </c>
      <c r="L145">
        <v>2.8429062085622649E-2</v>
      </c>
    </row>
    <row r="146" spans="1:12">
      <c r="A146">
        <v>0.40772532188841198</v>
      </c>
      <c r="B146">
        <v>0.125</v>
      </c>
      <c r="C146">
        <v>4.8351648351648353E-2</v>
      </c>
      <c r="D146">
        <v>0.12608695652173912</v>
      </c>
      <c r="E146">
        <v>9.9610894941634248E-2</v>
      </c>
      <c r="F146">
        <v>0.26209677419354838</v>
      </c>
      <c r="G146">
        <v>4.878048780487805E-2</v>
      </c>
      <c r="H146">
        <v>1</v>
      </c>
      <c r="I146">
        <v>0</v>
      </c>
      <c r="J146">
        <v>0</v>
      </c>
      <c r="K146">
        <v>0.30589964213229548</v>
      </c>
      <c r="L146">
        <v>1.0368469057795194E-2</v>
      </c>
    </row>
    <row r="147" spans="1:12">
      <c r="A147">
        <v>0.32188841201716739</v>
      </c>
      <c r="B147">
        <v>0.125</v>
      </c>
      <c r="C147">
        <v>4.8351648351648353E-2</v>
      </c>
      <c r="D147">
        <v>0.12608695652173912</v>
      </c>
      <c r="E147">
        <v>9.6303501945525297E-2</v>
      </c>
      <c r="F147">
        <v>0.30241935483870969</v>
      </c>
      <c r="G147">
        <v>4.878048780487805E-2</v>
      </c>
      <c r="H147">
        <v>0</v>
      </c>
      <c r="I147">
        <v>1</v>
      </c>
      <c r="J147">
        <v>0</v>
      </c>
      <c r="K147">
        <v>0.31759722900918685</v>
      </c>
      <c r="L147">
        <v>1.841425160798089E-5</v>
      </c>
    </row>
    <row r="148" spans="1:12">
      <c r="A148">
        <v>0.36480686695278969</v>
      </c>
      <c r="B148">
        <v>0.125</v>
      </c>
      <c r="C148">
        <v>0.10549450549450549</v>
      </c>
      <c r="D148">
        <v>0.12608695652173912</v>
      </c>
      <c r="E148">
        <v>0.12315175097276265</v>
      </c>
      <c r="F148">
        <v>0.24193548387096772</v>
      </c>
      <c r="G148">
        <v>4.878048780487805E-2</v>
      </c>
      <c r="H148">
        <v>0</v>
      </c>
      <c r="I148">
        <v>1</v>
      </c>
      <c r="J148">
        <v>0</v>
      </c>
      <c r="K148">
        <v>0.31633014198769843</v>
      </c>
      <c r="L148">
        <v>2.3499928633411017E-3</v>
      </c>
    </row>
    <row r="149" spans="1:12">
      <c r="A149">
        <v>0.32188841201716739</v>
      </c>
      <c r="B149">
        <v>0.125</v>
      </c>
      <c r="C149">
        <v>0.11428571428571428</v>
      </c>
      <c r="D149">
        <v>0.22173913043478261</v>
      </c>
      <c r="E149">
        <v>0.17042801556420234</v>
      </c>
      <c r="F149">
        <v>0.282258064516129</v>
      </c>
      <c r="G149">
        <v>4.878048780487805E-2</v>
      </c>
      <c r="H149">
        <v>0</v>
      </c>
      <c r="I149">
        <v>0</v>
      </c>
      <c r="J149">
        <v>1</v>
      </c>
      <c r="K149">
        <v>0.32365340281004856</v>
      </c>
      <c r="L149">
        <v>3.1151924989553061E-6</v>
      </c>
    </row>
    <row r="150" spans="1:12">
      <c r="A150">
        <v>0.36480686695278969</v>
      </c>
      <c r="B150">
        <v>0.125</v>
      </c>
      <c r="C150">
        <v>8.7912087912087919E-2</v>
      </c>
      <c r="D150">
        <v>0.20434782608695654</v>
      </c>
      <c r="E150">
        <v>0.15136186770428015</v>
      </c>
      <c r="F150">
        <v>0.30241935483870969</v>
      </c>
      <c r="G150">
        <v>4.878048780487805E-2</v>
      </c>
      <c r="H150">
        <v>0</v>
      </c>
      <c r="I150">
        <v>0</v>
      </c>
      <c r="J150">
        <v>1</v>
      </c>
      <c r="K150">
        <v>0.32359963538820635</v>
      </c>
      <c r="L150">
        <v>1.6980359332171931E-3</v>
      </c>
    </row>
    <row r="151" spans="1:12">
      <c r="A151">
        <v>0.47210300429184548</v>
      </c>
      <c r="B151">
        <v>0.125</v>
      </c>
      <c r="C151">
        <v>2.4175824175824177E-2</v>
      </c>
      <c r="D151">
        <v>9.1304347826086957E-2</v>
      </c>
      <c r="E151">
        <v>7.5291828793774315E-2</v>
      </c>
      <c r="F151">
        <v>0.32258064516129031</v>
      </c>
      <c r="G151">
        <v>4.878048780487805E-2</v>
      </c>
      <c r="H151">
        <v>0</v>
      </c>
      <c r="I151">
        <v>1</v>
      </c>
      <c r="J151">
        <v>0</v>
      </c>
      <c r="K151">
        <v>0.31843216692327514</v>
      </c>
      <c r="L151">
        <v>2.3614726257557596E-2</v>
      </c>
    </row>
    <row r="152" spans="1:12">
      <c r="A152">
        <v>0.21459227467811159</v>
      </c>
      <c r="B152">
        <v>0.375</v>
      </c>
      <c r="C152">
        <v>0.34505494505494505</v>
      </c>
      <c r="D152">
        <v>0.21304347826086956</v>
      </c>
      <c r="E152">
        <v>0.32120622568093388</v>
      </c>
      <c r="F152">
        <v>0.32258064516129031</v>
      </c>
      <c r="G152">
        <v>6.097560975609756E-2</v>
      </c>
      <c r="H152">
        <v>1</v>
      </c>
      <c r="I152">
        <v>0</v>
      </c>
      <c r="J152">
        <v>0</v>
      </c>
      <c r="K152">
        <v>0.24343140072049804</v>
      </c>
      <c r="L152">
        <v>8.3169519088865224E-4</v>
      </c>
    </row>
    <row r="153" spans="1:12">
      <c r="A153">
        <v>0.19313304721030042</v>
      </c>
      <c r="B153">
        <v>0.375</v>
      </c>
      <c r="C153">
        <v>0.4</v>
      </c>
      <c r="D153">
        <v>0.2565217391304348</v>
      </c>
      <c r="E153">
        <v>0.35914396887159533</v>
      </c>
      <c r="F153">
        <v>0.32258064516129031</v>
      </c>
      <c r="G153">
        <v>6.097560975609756E-2</v>
      </c>
      <c r="H153">
        <v>1</v>
      </c>
      <c r="I153">
        <v>0</v>
      </c>
      <c r="J153">
        <v>0</v>
      </c>
      <c r="K153">
        <v>0.24495451497349752</v>
      </c>
      <c r="L153">
        <v>2.6854645211320761E-3</v>
      </c>
    </row>
    <row r="154" spans="1:12">
      <c r="A154">
        <v>0.12875536480686695</v>
      </c>
      <c r="B154">
        <v>0.375</v>
      </c>
      <c r="C154">
        <v>0.4</v>
      </c>
      <c r="D154">
        <v>0.11304347826086956</v>
      </c>
      <c r="E154">
        <v>0.35389105058365761</v>
      </c>
      <c r="F154">
        <v>0.52419354838709675</v>
      </c>
      <c r="G154">
        <v>6.097560975609756E-2</v>
      </c>
      <c r="H154">
        <v>1</v>
      </c>
      <c r="I154">
        <v>0</v>
      </c>
      <c r="J154">
        <v>0</v>
      </c>
      <c r="K154">
        <v>0.22336391688274576</v>
      </c>
      <c r="L154">
        <v>8.9507781258942737E-3</v>
      </c>
    </row>
    <row r="155" spans="1:12">
      <c r="A155">
        <v>0.12875536480686695</v>
      </c>
      <c r="B155">
        <v>0.375</v>
      </c>
      <c r="C155">
        <v>0.4</v>
      </c>
      <c r="D155">
        <v>0.11304347826086956</v>
      </c>
      <c r="E155">
        <v>0.30058365758754862</v>
      </c>
      <c r="F155">
        <v>0.46370967741935482</v>
      </c>
      <c r="G155">
        <v>6.097560975609756E-2</v>
      </c>
      <c r="H155">
        <v>1</v>
      </c>
      <c r="I155">
        <v>0</v>
      </c>
      <c r="J155">
        <v>0</v>
      </c>
      <c r="K155">
        <v>0.22539791480826299</v>
      </c>
      <c r="L155">
        <v>9.3397824707723339E-3</v>
      </c>
    </row>
    <row r="156" spans="1:12">
      <c r="A156">
        <v>0.15021459227467809</v>
      </c>
      <c r="B156">
        <v>0.625</v>
      </c>
      <c r="C156">
        <v>0.72967032967032963</v>
      </c>
      <c r="D156">
        <v>0.53913043478260869</v>
      </c>
      <c r="E156">
        <v>0.5943579766536965</v>
      </c>
      <c r="F156">
        <v>0.1411290322580645</v>
      </c>
      <c r="G156">
        <v>6.097560975609756E-2</v>
      </c>
      <c r="H156">
        <v>1</v>
      </c>
      <c r="I156">
        <v>0</v>
      </c>
      <c r="J156">
        <v>0</v>
      </c>
      <c r="K156">
        <v>0.20929274726658748</v>
      </c>
      <c r="L156">
        <v>3.4902283972480675E-3</v>
      </c>
    </row>
    <row r="157" spans="1:12">
      <c r="A157">
        <v>0.12875536480686695</v>
      </c>
      <c r="B157">
        <v>0.625</v>
      </c>
      <c r="C157">
        <v>0.6197802197802198</v>
      </c>
      <c r="D157">
        <v>0.43043478260869567</v>
      </c>
      <c r="E157">
        <v>0.55000000000000004</v>
      </c>
      <c r="F157">
        <v>0.24193548387096772</v>
      </c>
      <c r="G157">
        <v>6.097560975609756E-2</v>
      </c>
      <c r="H157">
        <v>1</v>
      </c>
      <c r="I157">
        <v>0</v>
      </c>
      <c r="J157">
        <v>0</v>
      </c>
      <c r="K157">
        <v>0.20237192183376052</v>
      </c>
      <c r="L157">
        <v>5.4193974684938733E-3</v>
      </c>
    </row>
    <row r="158" spans="1:12">
      <c r="A158">
        <v>0.15021459227467809</v>
      </c>
      <c r="B158">
        <v>0.625</v>
      </c>
      <c r="C158">
        <v>0.5494505494505495</v>
      </c>
      <c r="D158">
        <v>0.45217391304347826</v>
      </c>
      <c r="E158">
        <v>0.56128404669260701</v>
      </c>
      <c r="F158">
        <v>0.26209677419354838</v>
      </c>
      <c r="G158">
        <v>6.097560975609756E-2</v>
      </c>
      <c r="H158">
        <v>1</v>
      </c>
      <c r="I158">
        <v>0</v>
      </c>
      <c r="J158">
        <v>0</v>
      </c>
      <c r="K158">
        <v>0.21117469090539334</v>
      </c>
      <c r="L158">
        <v>3.716133625066531E-3</v>
      </c>
    </row>
    <row r="159" spans="1:12">
      <c r="A159">
        <v>0.1072961373390558</v>
      </c>
      <c r="B159">
        <v>0.625</v>
      </c>
      <c r="C159">
        <v>0.62197802197802199</v>
      </c>
      <c r="D159">
        <v>0.44347826086956521</v>
      </c>
      <c r="E159">
        <v>0.59221789883268483</v>
      </c>
      <c r="F159">
        <v>0.22177419354838709</v>
      </c>
      <c r="G159">
        <v>6.097560975609756E-2</v>
      </c>
      <c r="H159">
        <v>1</v>
      </c>
      <c r="I159">
        <v>0</v>
      </c>
      <c r="J159">
        <v>0</v>
      </c>
      <c r="K159">
        <v>0.201195928521053</v>
      </c>
      <c r="L159">
        <v>8.8171707840226793E-3</v>
      </c>
    </row>
    <row r="160" spans="1:12">
      <c r="A160">
        <v>0.17167381974248927</v>
      </c>
      <c r="B160">
        <v>0.375</v>
      </c>
      <c r="C160">
        <v>0.35824175824175825</v>
      </c>
      <c r="D160">
        <v>0.27826086956521739</v>
      </c>
      <c r="E160">
        <v>0.44630350194552532</v>
      </c>
      <c r="F160">
        <v>0.52419354838709675</v>
      </c>
      <c r="G160">
        <v>6.097560975609756E-2</v>
      </c>
      <c r="H160">
        <v>1</v>
      </c>
      <c r="I160">
        <v>0</v>
      </c>
      <c r="J160">
        <v>0</v>
      </c>
      <c r="K160">
        <v>0.25036286600801433</v>
      </c>
      <c r="L160">
        <v>6.1919660021779429E-3</v>
      </c>
    </row>
    <row r="161" spans="1:12">
      <c r="A161">
        <v>0.15021459227467809</v>
      </c>
      <c r="B161">
        <v>0.375</v>
      </c>
      <c r="C161">
        <v>0.4</v>
      </c>
      <c r="D161">
        <v>0.2565217391304348</v>
      </c>
      <c r="E161">
        <v>0.44435797665369647</v>
      </c>
      <c r="F161">
        <v>0.42338709677419356</v>
      </c>
      <c r="G161">
        <v>6.097560975609756E-2</v>
      </c>
      <c r="H161">
        <v>1</v>
      </c>
      <c r="I161">
        <v>0</v>
      </c>
      <c r="J161">
        <v>0</v>
      </c>
      <c r="K161">
        <v>0.24106533028875735</v>
      </c>
      <c r="L161">
        <v>8.253856597702865E-3</v>
      </c>
    </row>
    <row r="162" spans="1:12">
      <c r="A162">
        <v>0.12875536480686695</v>
      </c>
      <c r="B162">
        <v>0.375</v>
      </c>
      <c r="C162">
        <v>0.4175824175824176</v>
      </c>
      <c r="D162">
        <v>0.27826086956521739</v>
      </c>
      <c r="E162">
        <v>0.41186770428015562</v>
      </c>
      <c r="F162">
        <v>0.44354838709677419</v>
      </c>
      <c r="G162">
        <v>6.097560975609756E-2</v>
      </c>
      <c r="H162">
        <v>1</v>
      </c>
      <c r="I162">
        <v>0</v>
      </c>
      <c r="J162">
        <v>0</v>
      </c>
      <c r="K162">
        <v>0.24637107850273787</v>
      </c>
      <c r="L162">
        <v>1.383345610818908E-2</v>
      </c>
    </row>
    <row r="163" spans="1:12">
      <c r="A163">
        <v>0.19313304721030042</v>
      </c>
      <c r="B163">
        <v>0.375</v>
      </c>
      <c r="C163">
        <v>0.34505494505494505</v>
      </c>
      <c r="D163">
        <v>0.21304347826086956</v>
      </c>
      <c r="E163">
        <v>0.42256809338521401</v>
      </c>
      <c r="F163">
        <v>0.44354838709677419</v>
      </c>
      <c r="G163">
        <v>6.097560975609756E-2</v>
      </c>
      <c r="H163">
        <v>1</v>
      </c>
      <c r="I163">
        <v>0</v>
      </c>
      <c r="J163">
        <v>0</v>
      </c>
      <c r="K163">
        <v>0.23873243316209414</v>
      </c>
      <c r="L163">
        <v>2.0793039991806425E-3</v>
      </c>
    </row>
    <row r="164" spans="1:12">
      <c r="A164">
        <v>0.25751072961373389</v>
      </c>
      <c r="B164">
        <v>0.375</v>
      </c>
      <c r="C164">
        <v>0.35824175824175825</v>
      </c>
      <c r="D164">
        <v>0.27826086956521739</v>
      </c>
      <c r="E164">
        <v>0.27743190661478601</v>
      </c>
      <c r="F164">
        <v>0.282258064516129</v>
      </c>
      <c r="G164">
        <v>6.097560975609756E-2</v>
      </c>
      <c r="H164">
        <v>1</v>
      </c>
      <c r="I164">
        <v>0</v>
      </c>
      <c r="J164">
        <v>0</v>
      </c>
      <c r="K164">
        <v>0.25570986631688358</v>
      </c>
      <c r="L164">
        <v>3.2431086139425606E-6</v>
      </c>
    </row>
    <row r="165" spans="1:12">
      <c r="A165">
        <v>0.23605150214592274</v>
      </c>
      <c r="B165">
        <v>0.625</v>
      </c>
      <c r="C165">
        <v>0.42637362637362636</v>
      </c>
      <c r="D165">
        <v>0.27826086956521739</v>
      </c>
      <c r="E165">
        <v>0.31284046692607004</v>
      </c>
      <c r="F165">
        <v>0.22177419354838709</v>
      </c>
      <c r="G165">
        <v>6.097560975609756E-2</v>
      </c>
      <c r="H165">
        <v>1</v>
      </c>
      <c r="I165">
        <v>0</v>
      </c>
      <c r="J165">
        <v>0</v>
      </c>
      <c r="K165">
        <v>0.2029698368235141</v>
      </c>
      <c r="L165">
        <v>1.0943965805038543E-3</v>
      </c>
    </row>
    <row r="166" spans="1:12">
      <c r="A166">
        <v>8.5836909871244635E-2</v>
      </c>
      <c r="B166">
        <v>0.625</v>
      </c>
      <c r="C166">
        <v>0.51428571428571423</v>
      </c>
      <c r="D166">
        <v>0.36086956521739133</v>
      </c>
      <c r="E166">
        <v>0.30272373540856029</v>
      </c>
      <c r="F166">
        <v>0.16129032258064516</v>
      </c>
      <c r="G166">
        <v>6.097560975609756E-2</v>
      </c>
      <c r="H166">
        <v>1</v>
      </c>
      <c r="I166">
        <v>0</v>
      </c>
      <c r="J166">
        <v>0</v>
      </c>
      <c r="K166">
        <v>0.21117262259805625</v>
      </c>
      <c r="L166">
        <v>1.5709040884737843E-2</v>
      </c>
    </row>
    <row r="167" spans="1:12">
      <c r="A167">
        <v>0.42918454935622319</v>
      </c>
      <c r="B167">
        <v>0.125</v>
      </c>
      <c r="C167">
        <v>6.3736263736263732E-2</v>
      </c>
      <c r="D167">
        <v>0.12608695652173912</v>
      </c>
      <c r="E167">
        <v>0.1085603112840467</v>
      </c>
      <c r="F167">
        <v>0.32258064516129031</v>
      </c>
      <c r="G167">
        <v>6.097560975609756E-2</v>
      </c>
      <c r="H167">
        <v>0</v>
      </c>
      <c r="I167">
        <v>0</v>
      </c>
      <c r="J167">
        <v>1</v>
      </c>
      <c r="K167">
        <v>0.32365161849777296</v>
      </c>
      <c r="L167">
        <v>1.1137199495574436E-2</v>
      </c>
    </row>
    <row r="168" spans="1:12">
      <c r="A168">
        <v>0.30042918454935619</v>
      </c>
      <c r="B168">
        <v>0.125</v>
      </c>
      <c r="C168">
        <v>0.15824175824175823</v>
      </c>
      <c r="D168">
        <v>0.16086956521739129</v>
      </c>
      <c r="E168">
        <v>0.19961089494163425</v>
      </c>
      <c r="F168">
        <v>0.36290322580645162</v>
      </c>
      <c r="G168">
        <v>6.097560975609756E-2</v>
      </c>
      <c r="H168">
        <v>1</v>
      </c>
      <c r="I168">
        <v>0</v>
      </c>
      <c r="J168">
        <v>0</v>
      </c>
      <c r="K168">
        <v>0.29956212831836837</v>
      </c>
      <c r="L168">
        <v>7.5178650769479891E-7</v>
      </c>
    </row>
    <row r="169" spans="1:12">
      <c r="A169">
        <v>0.23605150214592274</v>
      </c>
      <c r="B169">
        <v>0.375</v>
      </c>
      <c r="C169">
        <v>0.36043956043956044</v>
      </c>
      <c r="D169">
        <v>0.23478260869565218</v>
      </c>
      <c r="E169">
        <v>0.25311284046692606</v>
      </c>
      <c r="F169">
        <v>0.32258064516129031</v>
      </c>
      <c r="G169">
        <v>6.097560975609756E-2</v>
      </c>
      <c r="H169">
        <v>1</v>
      </c>
      <c r="I169">
        <v>0</v>
      </c>
      <c r="J169">
        <v>0</v>
      </c>
      <c r="K169">
        <v>0.25001983978628078</v>
      </c>
      <c r="L169">
        <v>1.9511445643504327E-4</v>
      </c>
    </row>
    <row r="170" spans="1:12">
      <c r="A170">
        <v>0.30042918454935619</v>
      </c>
      <c r="B170">
        <v>0.125</v>
      </c>
      <c r="C170">
        <v>0.15824175824175823</v>
      </c>
      <c r="D170">
        <v>0.1391304347826087</v>
      </c>
      <c r="E170">
        <v>0.1904669260700389</v>
      </c>
      <c r="F170">
        <v>0.42338709677419356</v>
      </c>
      <c r="G170">
        <v>6.097560975609756E-2</v>
      </c>
      <c r="H170">
        <v>1</v>
      </c>
      <c r="I170">
        <v>0</v>
      </c>
      <c r="J170">
        <v>0</v>
      </c>
      <c r="K170">
        <v>0.29754898645974753</v>
      </c>
      <c r="L170">
        <v>8.2955410353853427E-6</v>
      </c>
    </row>
    <row r="171" spans="1:12">
      <c r="A171">
        <v>0.32188841201716739</v>
      </c>
      <c r="B171">
        <v>0.125</v>
      </c>
      <c r="C171">
        <v>0.14505494505494507</v>
      </c>
      <c r="D171">
        <v>0.21739130434782608</v>
      </c>
      <c r="E171">
        <v>0.21186770428015564</v>
      </c>
      <c r="F171">
        <v>0.22177419354838709</v>
      </c>
      <c r="G171">
        <v>6.097560975609756E-2</v>
      </c>
      <c r="H171">
        <v>0</v>
      </c>
      <c r="I171">
        <v>0</v>
      </c>
      <c r="J171">
        <v>1</v>
      </c>
      <c r="K171">
        <v>0.32321201547860956</v>
      </c>
      <c r="L171">
        <v>1.7519261231416907E-6</v>
      </c>
    </row>
    <row r="172" spans="1:12">
      <c r="A172">
        <v>0.34334763948497854</v>
      </c>
      <c r="B172">
        <v>0.125</v>
      </c>
      <c r="C172">
        <v>4.8351648351648353E-2</v>
      </c>
      <c r="D172">
        <v>0.10869565217391304</v>
      </c>
      <c r="E172">
        <v>0.11867704280155641</v>
      </c>
      <c r="F172">
        <v>0.34274193548387094</v>
      </c>
      <c r="G172">
        <v>6.097560975609756E-2</v>
      </c>
      <c r="H172">
        <v>0</v>
      </c>
      <c r="I172">
        <v>1</v>
      </c>
      <c r="J172">
        <v>0</v>
      </c>
      <c r="K172">
        <v>0.31855791417457835</v>
      </c>
      <c r="L172">
        <v>6.1453048096509583E-4</v>
      </c>
    </row>
    <row r="173" spans="1:12">
      <c r="A173">
        <v>0.32188841201716739</v>
      </c>
      <c r="B173">
        <v>0.125</v>
      </c>
      <c r="C173">
        <v>0.11208791208791209</v>
      </c>
      <c r="D173">
        <v>0.22173913043478261</v>
      </c>
      <c r="E173">
        <v>0.18132295719844357</v>
      </c>
      <c r="F173">
        <v>0.36290322580645162</v>
      </c>
      <c r="G173">
        <v>6.097560975609756E-2</v>
      </c>
      <c r="H173">
        <v>0</v>
      </c>
      <c r="I173">
        <v>0</v>
      </c>
      <c r="J173">
        <v>1</v>
      </c>
      <c r="K173">
        <v>0.32357286785995537</v>
      </c>
      <c r="L173">
        <v>2.8373914863025627E-6</v>
      </c>
    </row>
    <row r="174" spans="1:12">
      <c r="A174">
        <v>0.19313304721030042</v>
      </c>
      <c r="B174">
        <v>0.375</v>
      </c>
      <c r="C174">
        <v>0.22637362637362637</v>
      </c>
      <c r="D174">
        <v>0.22173913043478261</v>
      </c>
      <c r="E174">
        <v>0.26673151750972762</v>
      </c>
      <c r="F174">
        <v>0.26209677419354838</v>
      </c>
      <c r="G174">
        <v>6.097560975609756E-2</v>
      </c>
      <c r="H174">
        <v>1</v>
      </c>
      <c r="I174">
        <v>0</v>
      </c>
      <c r="J174">
        <v>0</v>
      </c>
      <c r="K174">
        <v>0.2550579287831497</v>
      </c>
      <c r="L174">
        <v>3.8346909578114087E-3</v>
      </c>
    </row>
    <row r="175" spans="1:12">
      <c r="A175">
        <v>0.42918454935622319</v>
      </c>
      <c r="B175">
        <v>0.125</v>
      </c>
      <c r="C175">
        <v>4.8351648351648353E-2</v>
      </c>
      <c r="D175">
        <v>0.10434782608695652</v>
      </c>
      <c r="E175">
        <v>6.3035019455252916E-2</v>
      </c>
      <c r="F175">
        <v>0.24193548387096772</v>
      </c>
      <c r="G175">
        <v>6.097560975609756E-2</v>
      </c>
      <c r="H175">
        <v>0</v>
      </c>
      <c r="I175">
        <v>1</v>
      </c>
      <c r="J175">
        <v>0</v>
      </c>
      <c r="K175">
        <v>0.31576503055468713</v>
      </c>
      <c r="L175">
        <v>1.2863987245171991E-2</v>
      </c>
    </row>
    <row r="176" spans="1:12">
      <c r="A176">
        <v>0.21459227467811159</v>
      </c>
      <c r="B176">
        <v>0.375</v>
      </c>
      <c r="C176">
        <v>0.36043956043956044</v>
      </c>
      <c r="D176">
        <v>0.19130434782608696</v>
      </c>
      <c r="E176">
        <v>0.31089494163424125</v>
      </c>
      <c r="F176">
        <v>0.36290322580645162</v>
      </c>
      <c r="G176">
        <v>6.097560975609756E-2</v>
      </c>
      <c r="H176">
        <v>1</v>
      </c>
      <c r="I176">
        <v>0</v>
      </c>
      <c r="J176">
        <v>0</v>
      </c>
      <c r="K176">
        <v>0.2390609709522519</v>
      </c>
      <c r="L176">
        <v>5.9871709735612763E-4</v>
      </c>
    </row>
    <row r="177" spans="1:12">
      <c r="A177">
        <v>0.30042918454935619</v>
      </c>
      <c r="B177">
        <v>0.125</v>
      </c>
      <c r="C177">
        <v>0.10329670329670329</v>
      </c>
      <c r="D177">
        <v>0.21304347826086956</v>
      </c>
      <c r="E177">
        <v>0.21031128404669261</v>
      </c>
      <c r="F177">
        <v>0.282258064516129</v>
      </c>
      <c r="G177">
        <v>6.097560975609756E-2</v>
      </c>
      <c r="H177">
        <v>0</v>
      </c>
      <c r="I177">
        <v>1</v>
      </c>
      <c r="J177">
        <v>0</v>
      </c>
      <c r="K177">
        <v>0.31695768524556422</v>
      </c>
      <c r="L177">
        <v>2.7319133526454957E-4</v>
      </c>
    </row>
    <row r="178" spans="1:12">
      <c r="A178">
        <v>0.30042918454935619</v>
      </c>
      <c r="B178">
        <v>0.125</v>
      </c>
      <c r="C178">
        <v>0.11428571428571428</v>
      </c>
      <c r="D178">
        <v>0.18260869565217391</v>
      </c>
      <c r="E178">
        <v>0.2614785992217899</v>
      </c>
      <c r="F178">
        <v>0.36290322580645162</v>
      </c>
      <c r="G178">
        <v>6.097560975609756E-2</v>
      </c>
      <c r="H178">
        <v>0</v>
      </c>
      <c r="I178">
        <v>1</v>
      </c>
      <c r="J178">
        <v>0</v>
      </c>
      <c r="K178">
        <v>0.31965346817215007</v>
      </c>
      <c r="L178">
        <v>3.6957308080962103E-4</v>
      </c>
    </row>
    <row r="179" spans="1:12">
      <c r="A179">
        <v>0.27896995708154504</v>
      </c>
      <c r="B179">
        <v>0.125</v>
      </c>
      <c r="C179">
        <v>0.11648351648351649</v>
      </c>
      <c r="D179">
        <v>0.22608695652173913</v>
      </c>
      <c r="E179">
        <v>0.25914396887159535</v>
      </c>
      <c r="F179">
        <v>0.26209677419354838</v>
      </c>
      <c r="G179">
        <v>6.097560975609756E-2</v>
      </c>
      <c r="H179">
        <v>0</v>
      </c>
      <c r="I179">
        <v>1</v>
      </c>
      <c r="J179">
        <v>0</v>
      </c>
      <c r="K179">
        <v>0.31707618494371731</v>
      </c>
      <c r="L179">
        <v>1.4520846018837943E-3</v>
      </c>
    </row>
    <row r="180" spans="1:12">
      <c r="A180">
        <v>0.34334763948497854</v>
      </c>
      <c r="B180">
        <v>0.125</v>
      </c>
      <c r="C180">
        <v>0.11648351648351649</v>
      </c>
      <c r="D180">
        <v>0.3</v>
      </c>
      <c r="E180">
        <v>0.20583657587548637</v>
      </c>
      <c r="F180">
        <v>0.22177419354838709</v>
      </c>
      <c r="G180">
        <v>6.097560975609756E-2</v>
      </c>
      <c r="H180">
        <v>0</v>
      </c>
      <c r="I180">
        <v>1</v>
      </c>
      <c r="J180">
        <v>0</v>
      </c>
      <c r="K180">
        <v>0.31429889064535665</v>
      </c>
      <c r="L180">
        <v>8.4382980914743378E-4</v>
      </c>
    </row>
    <row r="181" spans="1:12">
      <c r="A181">
        <v>0.51502145922746778</v>
      </c>
      <c r="B181">
        <v>0.125</v>
      </c>
      <c r="C181">
        <v>5.054945054945055E-2</v>
      </c>
      <c r="D181">
        <v>3.0434782608695653E-2</v>
      </c>
      <c r="E181">
        <v>3.5408560311284046E-2</v>
      </c>
      <c r="F181">
        <v>0.38306451612903225</v>
      </c>
      <c r="G181">
        <v>6.097560975609756E-2</v>
      </c>
      <c r="H181">
        <v>0</v>
      </c>
      <c r="I181">
        <v>0</v>
      </c>
      <c r="J181">
        <v>1</v>
      </c>
      <c r="K181">
        <v>0.32491917722419378</v>
      </c>
      <c r="L181">
        <v>3.6138877622852318E-2</v>
      </c>
    </row>
    <row r="182" spans="1:12">
      <c r="A182">
        <v>0.40772532188841198</v>
      </c>
      <c r="B182">
        <v>0.125</v>
      </c>
      <c r="C182">
        <v>8.5714285714285715E-2</v>
      </c>
      <c r="D182">
        <v>0.17391304347826086</v>
      </c>
      <c r="E182">
        <v>0.16556420233463034</v>
      </c>
      <c r="F182">
        <v>0.30241935483870969</v>
      </c>
      <c r="G182">
        <v>7.3170731707317069E-2</v>
      </c>
      <c r="H182">
        <v>0</v>
      </c>
      <c r="I182">
        <v>1</v>
      </c>
      <c r="J182">
        <v>0</v>
      </c>
      <c r="K182">
        <v>0.31732433309733116</v>
      </c>
      <c r="L182">
        <v>8.1723387744051211E-3</v>
      </c>
    </row>
    <row r="183" spans="1:12">
      <c r="A183">
        <v>0.34334763948497854</v>
      </c>
      <c r="B183">
        <v>0.125</v>
      </c>
      <c r="C183">
        <v>0.10549450549450549</v>
      </c>
      <c r="D183">
        <v>0.15217391304347827</v>
      </c>
      <c r="E183">
        <v>0.11809338521400778</v>
      </c>
      <c r="F183">
        <v>0.35887096774193544</v>
      </c>
      <c r="G183">
        <v>7.3170731707317069E-2</v>
      </c>
      <c r="H183">
        <v>0</v>
      </c>
      <c r="I183">
        <v>1</v>
      </c>
      <c r="J183">
        <v>0</v>
      </c>
      <c r="K183">
        <v>0.31770875810506755</v>
      </c>
      <c r="L183">
        <v>6.5735223841314669E-4</v>
      </c>
    </row>
    <row r="184" spans="1:12">
      <c r="A184">
        <v>0.34334763948497854</v>
      </c>
      <c r="B184">
        <v>0.125</v>
      </c>
      <c r="C184">
        <v>0.15824175824175823</v>
      </c>
      <c r="D184">
        <v>0.2</v>
      </c>
      <c r="E184">
        <v>0.18657587548638133</v>
      </c>
      <c r="F184">
        <v>0.27822580645161293</v>
      </c>
      <c r="G184">
        <v>7.3170731707317069E-2</v>
      </c>
      <c r="H184">
        <v>1</v>
      </c>
      <c r="I184">
        <v>0</v>
      </c>
      <c r="J184">
        <v>0</v>
      </c>
      <c r="K184">
        <v>0.30589462615337293</v>
      </c>
      <c r="L184">
        <v>1.4027282076174276E-3</v>
      </c>
    </row>
    <row r="185" spans="1:12">
      <c r="A185">
        <v>0.36480686695278969</v>
      </c>
      <c r="B185">
        <v>0.125</v>
      </c>
      <c r="C185">
        <v>6.5934065934065936E-2</v>
      </c>
      <c r="D185">
        <v>0.14347826086956522</v>
      </c>
      <c r="E185">
        <v>0.12490272373540856</v>
      </c>
      <c r="F185">
        <v>0.3911290322580645</v>
      </c>
      <c r="G185">
        <v>7.3170731707317069E-2</v>
      </c>
      <c r="H185">
        <v>1</v>
      </c>
      <c r="I185">
        <v>0</v>
      </c>
      <c r="J185">
        <v>0</v>
      </c>
      <c r="K185">
        <v>0.30893495894467837</v>
      </c>
      <c r="L185">
        <v>3.1216701044668531E-3</v>
      </c>
    </row>
    <row r="186" spans="1:12">
      <c r="A186">
        <v>0.38626609442060084</v>
      </c>
      <c r="B186">
        <v>0.125</v>
      </c>
      <c r="C186">
        <v>7.2527472527472533E-2</v>
      </c>
      <c r="D186">
        <v>0.16086956521739129</v>
      </c>
      <c r="E186">
        <v>0.11459143968871595</v>
      </c>
      <c r="F186">
        <v>0.29435483870967744</v>
      </c>
      <c r="G186">
        <v>7.3170731707317069E-2</v>
      </c>
      <c r="H186">
        <v>0</v>
      </c>
      <c r="I186">
        <v>1</v>
      </c>
      <c r="J186">
        <v>0</v>
      </c>
      <c r="K186">
        <v>0.31675532381466953</v>
      </c>
      <c r="L186">
        <v>4.8317472302304033E-3</v>
      </c>
    </row>
    <row r="187" spans="1:12">
      <c r="A187">
        <v>0.18240343347639484</v>
      </c>
      <c r="B187">
        <v>0.625</v>
      </c>
      <c r="C187">
        <v>0.52087912087912092</v>
      </c>
      <c r="D187">
        <v>0.40869565217391307</v>
      </c>
      <c r="E187">
        <v>0.50622568093385212</v>
      </c>
      <c r="F187">
        <v>0.20161290322580644</v>
      </c>
      <c r="G187">
        <v>7.3170731707317069E-2</v>
      </c>
      <c r="H187">
        <v>1</v>
      </c>
      <c r="I187">
        <v>0</v>
      </c>
      <c r="J187">
        <v>0</v>
      </c>
      <c r="K187">
        <v>0.20720052963571822</v>
      </c>
      <c r="L187">
        <v>6.1489597793473023E-4</v>
      </c>
    </row>
    <row r="188" spans="1:12">
      <c r="A188">
        <v>0.15021459227467809</v>
      </c>
      <c r="B188">
        <v>0.625</v>
      </c>
      <c r="C188">
        <v>0.5494505494505495</v>
      </c>
      <c r="D188">
        <v>0.45217391304347826</v>
      </c>
      <c r="E188">
        <v>0.50136186770428015</v>
      </c>
      <c r="F188">
        <v>0.20161290322580644</v>
      </c>
      <c r="G188">
        <v>7.3170731707317069E-2</v>
      </c>
      <c r="H188">
        <v>1</v>
      </c>
      <c r="I188">
        <v>0</v>
      </c>
      <c r="J188">
        <v>0</v>
      </c>
      <c r="K188">
        <v>0.21348647927240355</v>
      </c>
      <c r="L188">
        <v>4.0033316842529396E-3</v>
      </c>
    </row>
    <row r="189" spans="1:12">
      <c r="A189">
        <v>0.13948497854077252</v>
      </c>
      <c r="B189">
        <v>0.625</v>
      </c>
      <c r="C189">
        <v>0.51868131868131873</v>
      </c>
      <c r="D189">
        <v>0.32173913043478258</v>
      </c>
      <c r="E189">
        <v>0.45700389105058364</v>
      </c>
      <c r="F189">
        <v>0.23790322580645162</v>
      </c>
      <c r="G189">
        <v>7.3170731707317069E-2</v>
      </c>
      <c r="H189">
        <v>1</v>
      </c>
      <c r="I189">
        <v>0</v>
      </c>
      <c r="J189">
        <v>0</v>
      </c>
      <c r="K189">
        <v>0.19525521641248411</v>
      </c>
      <c r="L189">
        <v>3.1103194322672939E-3</v>
      </c>
    </row>
    <row r="190" spans="1:12">
      <c r="A190">
        <v>0.11802575107296137</v>
      </c>
      <c r="B190">
        <v>0.625</v>
      </c>
      <c r="C190">
        <v>0.62197802197802199</v>
      </c>
      <c r="D190">
        <v>0.46086956521739131</v>
      </c>
      <c r="E190">
        <v>0.50622568093385212</v>
      </c>
      <c r="F190">
        <v>0.19354838709677422</v>
      </c>
      <c r="G190">
        <v>7.3170731707317069E-2</v>
      </c>
      <c r="H190">
        <v>1</v>
      </c>
      <c r="I190">
        <v>0</v>
      </c>
      <c r="J190">
        <v>0</v>
      </c>
      <c r="K190">
        <v>0.20916202565604974</v>
      </c>
      <c r="L190">
        <v>8.305820544884079E-3</v>
      </c>
    </row>
    <row r="191" spans="1:12">
      <c r="A191">
        <v>0.27896995708154504</v>
      </c>
      <c r="B191">
        <v>0.375</v>
      </c>
      <c r="C191">
        <v>0.34505494505494505</v>
      </c>
      <c r="D191">
        <v>0.23478260869565218</v>
      </c>
      <c r="E191">
        <v>0.31517509727626458</v>
      </c>
      <c r="F191">
        <v>0.29838709677419356</v>
      </c>
      <c r="G191">
        <v>7.3170731707317069E-2</v>
      </c>
      <c r="H191">
        <v>1</v>
      </c>
      <c r="I191">
        <v>0</v>
      </c>
      <c r="J191">
        <v>0</v>
      </c>
      <c r="K191">
        <v>0.24651317569815251</v>
      </c>
      <c r="L191">
        <v>1.0534426577693359E-3</v>
      </c>
    </row>
    <row r="192" spans="1:12">
      <c r="A192">
        <v>0.27896995708154504</v>
      </c>
      <c r="B192">
        <v>0.375</v>
      </c>
      <c r="C192">
        <v>0.4</v>
      </c>
      <c r="D192">
        <v>0.2565217391304348</v>
      </c>
      <c r="E192">
        <v>0.33852140077821014</v>
      </c>
      <c r="F192">
        <v>0.26209677419354838</v>
      </c>
      <c r="G192">
        <v>7.3170731707317069E-2</v>
      </c>
      <c r="H192">
        <v>1</v>
      </c>
      <c r="I192">
        <v>0</v>
      </c>
      <c r="J192">
        <v>0</v>
      </c>
      <c r="K192">
        <v>0.24415444177446741</v>
      </c>
      <c r="L192">
        <v>1.2121201060973569E-3</v>
      </c>
    </row>
    <row r="193" spans="1:12">
      <c r="A193">
        <v>0.32188841201716739</v>
      </c>
      <c r="B193">
        <v>0.375</v>
      </c>
      <c r="C193">
        <v>0.29010989010989013</v>
      </c>
      <c r="D193">
        <v>0.15217391304347827</v>
      </c>
      <c r="E193">
        <v>0.27217898832684823</v>
      </c>
      <c r="F193">
        <v>0.38709677419354843</v>
      </c>
      <c r="G193">
        <v>7.3170731707317069E-2</v>
      </c>
      <c r="H193">
        <v>1</v>
      </c>
      <c r="I193">
        <v>0</v>
      </c>
      <c r="J193">
        <v>0</v>
      </c>
      <c r="K193">
        <v>0.24020170784383005</v>
      </c>
      <c r="L193">
        <v>6.6727176387023288E-3</v>
      </c>
    </row>
    <row r="194" spans="1:12">
      <c r="A194">
        <v>0.28969957081545061</v>
      </c>
      <c r="B194">
        <v>0.375</v>
      </c>
      <c r="C194">
        <v>0.36043956043956044</v>
      </c>
      <c r="D194">
        <v>0.19130434782608696</v>
      </c>
      <c r="E194">
        <v>0.28638132295719843</v>
      </c>
      <c r="F194">
        <v>0.38709677419354843</v>
      </c>
      <c r="G194">
        <v>7.3170731707317069E-2</v>
      </c>
      <c r="H194">
        <v>1</v>
      </c>
      <c r="I194">
        <v>0</v>
      </c>
      <c r="J194">
        <v>0</v>
      </c>
      <c r="K194">
        <v>0.24145504343706214</v>
      </c>
      <c r="L194">
        <v>2.3275344219640744E-3</v>
      </c>
    </row>
    <row r="195" spans="1:12">
      <c r="A195">
        <v>0.42918454935622319</v>
      </c>
      <c r="B195">
        <v>0.125</v>
      </c>
      <c r="C195">
        <v>3.7362637362637362E-2</v>
      </c>
      <c r="D195">
        <v>2.6086956521739129E-2</v>
      </c>
      <c r="E195">
        <v>8.2101167315175097E-2</v>
      </c>
      <c r="F195">
        <v>0.57258064516129026</v>
      </c>
      <c r="G195">
        <v>7.3170731707317069E-2</v>
      </c>
      <c r="H195">
        <v>1</v>
      </c>
      <c r="I195">
        <v>0</v>
      </c>
      <c r="J195">
        <v>0</v>
      </c>
      <c r="K195">
        <v>0.29365887324076323</v>
      </c>
      <c r="L195">
        <v>1.8367208886552553E-2</v>
      </c>
    </row>
    <row r="196" spans="1:12">
      <c r="A196">
        <v>0.33261802575107297</v>
      </c>
      <c r="B196">
        <v>0.125</v>
      </c>
      <c r="C196">
        <v>6.5934065934065936E-2</v>
      </c>
      <c r="D196">
        <v>6.0869565217391307E-2</v>
      </c>
      <c r="E196">
        <v>0.10719844357976653</v>
      </c>
      <c r="F196">
        <v>0.56854838709677424</v>
      </c>
      <c r="G196">
        <v>7.3170731707317069E-2</v>
      </c>
      <c r="H196">
        <v>1</v>
      </c>
      <c r="I196">
        <v>0</v>
      </c>
      <c r="J196">
        <v>0</v>
      </c>
      <c r="K196">
        <v>0.29681391753145275</v>
      </c>
      <c r="L196">
        <v>1.2819341654022756E-3</v>
      </c>
    </row>
    <row r="197" spans="1:12">
      <c r="A197">
        <v>0.42918454935622319</v>
      </c>
      <c r="B197">
        <v>0.125</v>
      </c>
      <c r="C197">
        <v>4.8351648351648353E-2</v>
      </c>
      <c r="D197">
        <v>0.10434782608695652</v>
      </c>
      <c r="E197">
        <v>6.3035019455252916E-2</v>
      </c>
      <c r="F197">
        <v>0.24999999999999997</v>
      </c>
      <c r="G197">
        <v>7.3170731707317069E-2</v>
      </c>
      <c r="H197">
        <v>0</v>
      </c>
      <c r="I197">
        <v>1</v>
      </c>
      <c r="J197">
        <v>0</v>
      </c>
      <c r="K197">
        <v>0.31623064423805147</v>
      </c>
      <c r="L197">
        <v>1.2758584681444939E-2</v>
      </c>
    </row>
    <row r="198" spans="1:12">
      <c r="A198">
        <v>0.51502145922746778</v>
      </c>
      <c r="B198">
        <v>0.125</v>
      </c>
      <c r="C198">
        <v>5.054945054945055E-2</v>
      </c>
      <c r="D198">
        <v>3.0434782608695653E-2</v>
      </c>
      <c r="E198">
        <v>3.5408560311284046E-2</v>
      </c>
      <c r="F198">
        <v>0.37903225806451607</v>
      </c>
      <c r="G198">
        <v>7.3170731707317069E-2</v>
      </c>
      <c r="H198">
        <v>0</v>
      </c>
      <c r="I198">
        <v>0</v>
      </c>
      <c r="J198">
        <v>1</v>
      </c>
      <c r="K198">
        <v>0.3251427345004767</v>
      </c>
      <c r="L198">
        <v>3.6053930103948452E-2</v>
      </c>
    </row>
    <row r="199" spans="1:12">
      <c r="A199">
        <v>0.23605150214592274</v>
      </c>
      <c r="B199">
        <v>0.375</v>
      </c>
      <c r="C199">
        <v>0.34505494505494505</v>
      </c>
      <c r="D199">
        <v>0.23478260869565218</v>
      </c>
      <c r="E199">
        <v>0.39649805447470815</v>
      </c>
      <c r="F199">
        <v>0.3911290322580645</v>
      </c>
      <c r="G199">
        <v>7.3170731707317069E-2</v>
      </c>
      <c r="H199">
        <v>1</v>
      </c>
      <c r="I199">
        <v>0</v>
      </c>
      <c r="J199">
        <v>0</v>
      </c>
      <c r="K199">
        <v>0.24374399235710642</v>
      </c>
      <c r="L199">
        <v>5.9174405649156707E-5</v>
      </c>
    </row>
    <row r="200" spans="1:12">
      <c r="A200">
        <v>0.19313304721030042</v>
      </c>
      <c r="B200">
        <v>0.375</v>
      </c>
      <c r="C200">
        <v>0.4</v>
      </c>
      <c r="D200">
        <v>0.1391304347826087</v>
      </c>
      <c r="E200">
        <v>0.38151750972762644</v>
      </c>
      <c r="F200">
        <v>0.52419354838709675</v>
      </c>
      <c r="G200">
        <v>7.3170731707317069E-2</v>
      </c>
      <c r="H200">
        <v>1</v>
      </c>
      <c r="I200">
        <v>0</v>
      </c>
      <c r="J200">
        <v>0</v>
      </c>
      <c r="K200">
        <v>0.22608803257384313</v>
      </c>
      <c r="L200">
        <v>1.0860310603113146E-3</v>
      </c>
    </row>
    <row r="201" spans="1:12">
      <c r="A201">
        <v>0.20386266094420599</v>
      </c>
      <c r="B201">
        <v>0.375</v>
      </c>
      <c r="C201">
        <v>0.4</v>
      </c>
      <c r="D201">
        <v>0.27826086956521739</v>
      </c>
      <c r="E201">
        <v>0.39533073929961088</v>
      </c>
      <c r="F201">
        <v>0.33064516129032256</v>
      </c>
      <c r="G201">
        <v>7.3170731707317069E-2</v>
      </c>
      <c r="H201">
        <v>1</v>
      </c>
      <c r="I201">
        <v>0</v>
      </c>
      <c r="J201">
        <v>0</v>
      </c>
      <c r="K201">
        <v>0.24642784175757126</v>
      </c>
      <c r="L201">
        <v>1.8117946176744791E-3</v>
      </c>
    </row>
    <row r="202" spans="1:12">
      <c r="A202">
        <v>0.18240343347639484</v>
      </c>
      <c r="B202">
        <v>0.375</v>
      </c>
      <c r="C202">
        <v>0.4175824175824176</v>
      </c>
      <c r="D202">
        <v>0.21304347826086956</v>
      </c>
      <c r="E202">
        <v>0.30739299610894943</v>
      </c>
      <c r="F202">
        <v>0.39516129032258068</v>
      </c>
      <c r="G202">
        <v>7.3170731707317069E-2</v>
      </c>
      <c r="H202">
        <v>1</v>
      </c>
      <c r="I202">
        <v>0</v>
      </c>
      <c r="J202">
        <v>0</v>
      </c>
      <c r="K202">
        <v>0.24037797396212118</v>
      </c>
      <c r="L202">
        <v>3.3610473445311222E-3</v>
      </c>
    </row>
    <row r="203" spans="1:12">
      <c r="A203">
        <v>0.43991416309012876</v>
      </c>
      <c r="B203">
        <v>0.125</v>
      </c>
      <c r="C203">
        <v>6.3736263736263732E-2</v>
      </c>
      <c r="D203">
        <v>0.10869565217391304</v>
      </c>
      <c r="E203">
        <v>4.1245136186770427E-2</v>
      </c>
      <c r="F203">
        <v>0.16935483870967738</v>
      </c>
      <c r="G203">
        <v>7.3170731707317069E-2</v>
      </c>
      <c r="H203">
        <v>0</v>
      </c>
      <c r="I203">
        <v>1</v>
      </c>
      <c r="J203">
        <v>0</v>
      </c>
      <c r="K203">
        <v>0.31424229252388114</v>
      </c>
      <c r="L203">
        <v>1.5793419051619694E-2</v>
      </c>
    </row>
    <row r="204" spans="1:12">
      <c r="A204">
        <v>0.49356223175965663</v>
      </c>
      <c r="B204">
        <v>0.125</v>
      </c>
      <c r="C204">
        <v>3.7362637362637362E-2</v>
      </c>
      <c r="D204">
        <v>0.10434782608695652</v>
      </c>
      <c r="E204">
        <v>7.3346303501945528E-2</v>
      </c>
      <c r="F204">
        <v>0.36290322580645162</v>
      </c>
      <c r="G204">
        <v>7.3170731707317069E-2</v>
      </c>
      <c r="H204">
        <v>0</v>
      </c>
      <c r="I204">
        <v>0</v>
      </c>
      <c r="J204">
        <v>1</v>
      </c>
      <c r="K204">
        <v>0.32418796032414227</v>
      </c>
      <c r="L204">
        <v>2.8687643824311299E-2</v>
      </c>
    </row>
    <row r="205" spans="1:12">
      <c r="A205">
        <v>0.40772532188841198</v>
      </c>
      <c r="B205">
        <v>0.125</v>
      </c>
      <c r="C205">
        <v>6.3736263736263732E-2</v>
      </c>
      <c r="D205">
        <v>0.12608695652173912</v>
      </c>
      <c r="E205">
        <v>0.10544747081712062</v>
      </c>
      <c r="F205">
        <v>0.33870967741935476</v>
      </c>
      <c r="G205">
        <v>7.3170731707317069E-2</v>
      </c>
      <c r="H205">
        <v>0</v>
      </c>
      <c r="I205">
        <v>0</v>
      </c>
      <c r="J205">
        <v>1</v>
      </c>
      <c r="K205">
        <v>0.32425265729328895</v>
      </c>
      <c r="L205">
        <v>6.9676857346099071E-3</v>
      </c>
    </row>
    <row r="206" spans="1:12">
      <c r="A206">
        <v>0.37553648068669526</v>
      </c>
      <c r="B206">
        <v>0.125</v>
      </c>
      <c r="C206">
        <v>0.15824175824175823</v>
      </c>
      <c r="D206">
        <v>0.11304347826086956</v>
      </c>
      <c r="E206">
        <v>0.18521400778210118</v>
      </c>
      <c r="F206">
        <v>0.22580645161290319</v>
      </c>
      <c r="G206">
        <v>7.3170731707317069E-2</v>
      </c>
      <c r="H206">
        <v>1</v>
      </c>
      <c r="I206">
        <v>0</v>
      </c>
      <c r="J206">
        <v>0</v>
      </c>
      <c r="K206">
        <v>0.28906687483582932</v>
      </c>
      <c r="L206">
        <v>7.4769927360041092E-3</v>
      </c>
    </row>
    <row r="207" spans="1:12">
      <c r="A207">
        <v>0.23605150214592274</v>
      </c>
      <c r="B207">
        <v>0.125</v>
      </c>
      <c r="C207">
        <v>0.13626373626373625</v>
      </c>
      <c r="D207">
        <v>0.24347826086956523</v>
      </c>
      <c r="E207">
        <v>0.2990272373540856</v>
      </c>
      <c r="F207">
        <v>0.31048387096774188</v>
      </c>
      <c r="G207">
        <v>7.3170731707317069E-2</v>
      </c>
      <c r="H207">
        <v>0</v>
      </c>
      <c r="I207">
        <v>1</v>
      </c>
      <c r="J207">
        <v>0</v>
      </c>
      <c r="K207">
        <v>0.31885785819087836</v>
      </c>
      <c r="L207">
        <v>6.8568926014439579E-3</v>
      </c>
    </row>
    <row r="208" spans="1:12">
      <c r="A208">
        <v>8.5836909871244635E-2</v>
      </c>
      <c r="B208">
        <v>0.625</v>
      </c>
      <c r="C208">
        <v>0.5494505494505495</v>
      </c>
      <c r="D208">
        <v>0.45217391304347826</v>
      </c>
      <c r="E208">
        <v>0.45272373540856031</v>
      </c>
      <c r="F208">
        <v>0.20967741935483866</v>
      </c>
      <c r="G208">
        <v>7.3170731707317069E-2</v>
      </c>
      <c r="H208">
        <v>1</v>
      </c>
      <c r="I208">
        <v>0</v>
      </c>
      <c r="J208">
        <v>0</v>
      </c>
      <c r="K208">
        <v>0.21730656018732797</v>
      </c>
      <c r="L208">
        <v>1.7284268954233226E-2</v>
      </c>
    </row>
    <row r="209" spans="1:12">
      <c r="A209">
        <v>0.21459227467811159</v>
      </c>
      <c r="B209">
        <v>0.125</v>
      </c>
      <c r="C209">
        <v>0.11428571428571428</v>
      </c>
      <c r="D209">
        <v>0.18260869565217391</v>
      </c>
      <c r="E209">
        <v>0.32237354085603115</v>
      </c>
      <c r="F209">
        <v>0.56048387096774188</v>
      </c>
      <c r="G209">
        <v>7.3170731707317069E-2</v>
      </c>
      <c r="H209">
        <v>0</v>
      </c>
      <c r="I209">
        <v>1</v>
      </c>
      <c r="J209">
        <v>0</v>
      </c>
      <c r="K209">
        <v>0.32485695434377859</v>
      </c>
      <c r="L209">
        <v>1.2158299581772157E-2</v>
      </c>
    </row>
    <row r="210" spans="1:12">
      <c r="A210">
        <v>0.21459227467811159</v>
      </c>
      <c r="B210">
        <v>0.375</v>
      </c>
      <c r="C210">
        <v>0.19340659340659341</v>
      </c>
      <c r="D210">
        <v>0.26956521739130435</v>
      </c>
      <c r="E210">
        <v>0.25622568093385212</v>
      </c>
      <c r="F210">
        <v>0.30241935483870969</v>
      </c>
      <c r="G210">
        <v>7.3170731707317069E-2</v>
      </c>
      <c r="H210">
        <v>0</v>
      </c>
      <c r="I210">
        <v>0</v>
      </c>
      <c r="J210">
        <v>1</v>
      </c>
      <c r="K210">
        <v>0.32291744902778935</v>
      </c>
      <c r="L210">
        <v>1.1734343397888083E-2</v>
      </c>
    </row>
    <row r="211" spans="1:12">
      <c r="A211">
        <v>0.1609442060085837</v>
      </c>
      <c r="B211">
        <v>0.375</v>
      </c>
      <c r="C211">
        <v>0.21978021978021978</v>
      </c>
      <c r="D211">
        <v>0.32173913043478258</v>
      </c>
      <c r="E211">
        <v>0.42937743190661476</v>
      </c>
      <c r="F211">
        <v>0.35080645161290319</v>
      </c>
      <c r="G211">
        <v>7.3170731707317069E-2</v>
      </c>
      <c r="H211">
        <v>0</v>
      </c>
      <c r="I211">
        <v>1</v>
      </c>
      <c r="J211">
        <v>0</v>
      </c>
      <c r="K211">
        <v>0.31869622816402976</v>
      </c>
      <c r="L211">
        <v>2.4885700494132346E-2</v>
      </c>
    </row>
    <row r="212" spans="1:12">
      <c r="A212">
        <v>0.1609442060085837</v>
      </c>
      <c r="B212">
        <v>0.625</v>
      </c>
      <c r="C212">
        <v>0.6197802197802198</v>
      </c>
      <c r="D212">
        <v>0.58260869565217388</v>
      </c>
      <c r="E212">
        <v>0.53832684824902721</v>
      </c>
      <c r="F212">
        <v>0.16532258064516128</v>
      </c>
      <c r="G212">
        <v>7.3170731707317069E-2</v>
      </c>
      <c r="H212">
        <v>1</v>
      </c>
      <c r="I212">
        <v>0</v>
      </c>
      <c r="J212">
        <v>0</v>
      </c>
      <c r="K212">
        <v>0.22926482585321867</v>
      </c>
      <c r="L212">
        <v>4.6677070959551302E-3</v>
      </c>
    </row>
    <row r="213" spans="1:12">
      <c r="A213">
        <v>8.5836909871244635E-2</v>
      </c>
      <c r="B213">
        <v>0.625</v>
      </c>
      <c r="C213">
        <v>0.6197802197802198</v>
      </c>
      <c r="D213">
        <v>0.43043478260869567</v>
      </c>
      <c r="E213">
        <v>0.47509727626459142</v>
      </c>
      <c r="F213">
        <v>0.16129032258064516</v>
      </c>
      <c r="G213">
        <v>7.3170731707317069E-2</v>
      </c>
      <c r="H213">
        <v>1</v>
      </c>
      <c r="I213">
        <v>0</v>
      </c>
      <c r="J213">
        <v>0</v>
      </c>
      <c r="K213">
        <v>0.20505527996553219</v>
      </c>
      <c r="L213">
        <v>1.4213019767938517E-2</v>
      </c>
    </row>
    <row r="214" spans="1:12">
      <c r="A214">
        <v>8.5836909871244635E-2</v>
      </c>
      <c r="B214">
        <v>0.625</v>
      </c>
      <c r="C214">
        <v>0.51428571428571423</v>
      </c>
      <c r="D214">
        <v>0.36521739130434783</v>
      </c>
      <c r="E214">
        <v>0.43910505836575875</v>
      </c>
      <c r="F214">
        <v>0.282258064516129</v>
      </c>
      <c r="G214">
        <v>7.3170731707317069E-2</v>
      </c>
      <c r="H214">
        <v>1</v>
      </c>
      <c r="I214">
        <v>0</v>
      </c>
      <c r="J214">
        <v>0</v>
      </c>
      <c r="K214">
        <v>0.20577117650106505</v>
      </c>
      <c r="L214">
        <v>1.4384228312032855E-2</v>
      </c>
    </row>
    <row r="215" spans="1:12">
      <c r="A215">
        <v>8.5836909871244635E-2</v>
      </c>
      <c r="B215">
        <v>0.625</v>
      </c>
      <c r="C215">
        <v>0.5494505494505495</v>
      </c>
      <c r="D215">
        <v>0.45217391304347826</v>
      </c>
      <c r="E215">
        <v>0.41673151750972764</v>
      </c>
      <c r="F215">
        <v>0.24193548387096772</v>
      </c>
      <c r="G215">
        <v>7.3170731707317069E-2</v>
      </c>
      <c r="H215">
        <v>1</v>
      </c>
      <c r="I215">
        <v>0</v>
      </c>
      <c r="J215">
        <v>0</v>
      </c>
      <c r="K215">
        <v>0.21976669390007403</v>
      </c>
      <c r="L215">
        <v>1.7937187050008883E-2</v>
      </c>
    </row>
    <row r="216" spans="1:12">
      <c r="A216">
        <v>0.48283261802575106</v>
      </c>
      <c r="B216">
        <v>0.125</v>
      </c>
      <c r="C216">
        <v>6.5934065934065936E-2</v>
      </c>
      <c r="D216">
        <v>9.5652173913043481E-2</v>
      </c>
      <c r="E216">
        <v>8.4046692607003898E-2</v>
      </c>
      <c r="F216">
        <v>0.42338709677419356</v>
      </c>
      <c r="G216">
        <v>8.5365853658536592E-2</v>
      </c>
      <c r="H216">
        <v>0</v>
      </c>
      <c r="I216">
        <v>0</v>
      </c>
      <c r="J216">
        <v>1</v>
      </c>
      <c r="K216">
        <v>0.32446772026558457</v>
      </c>
      <c r="L216">
        <v>2.5079440842587987E-2</v>
      </c>
    </row>
    <row r="217" spans="1:12">
      <c r="A217">
        <v>0.45064377682403434</v>
      </c>
      <c r="B217">
        <v>0.125</v>
      </c>
      <c r="C217">
        <v>9.4505494505494503E-2</v>
      </c>
      <c r="D217">
        <v>0.14782608695652175</v>
      </c>
      <c r="E217">
        <v>0.10544747081712062</v>
      </c>
      <c r="F217">
        <v>0.27419354838709681</v>
      </c>
      <c r="G217">
        <v>8.5365853658536592E-2</v>
      </c>
      <c r="H217">
        <v>1</v>
      </c>
      <c r="I217">
        <v>0</v>
      </c>
      <c r="J217">
        <v>0</v>
      </c>
      <c r="K217">
        <v>0.30609395297383907</v>
      </c>
      <c r="L217">
        <v>2.0894651575122481E-2</v>
      </c>
    </row>
    <row r="218" spans="1:12">
      <c r="A218">
        <v>0.57939914163090123</v>
      </c>
      <c r="B218">
        <v>0.125</v>
      </c>
      <c r="C218">
        <v>2.4175824175824177E-2</v>
      </c>
      <c r="D218">
        <v>5.2173913043478258E-2</v>
      </c>
      <c r="E218">
        <v>4.1245136186770427E-2</v>
      </c>
      <c r="F218">
        <v>0.42741935483870974</v>
      </c>
      <c r="G218">
        <v>8.5365853658536592E-2</v>
      </c>
      <c r="H218">
        <v>0</v>
      </c>
      <c r="I218">
        <v>1</v>
      </c>
      <c r="J218">
        <v>0</v>
      </c>
      <c r="K218">
        <v>0.31999667331120824</v>
      </c>
      <c r="L218">
        <v>6.7289640570349321E-2</v>
      </c>
    </row>
    <row r="219" spans="1:12">
      <c r="A219">
        <v>0.35407725321888411</v>
      </c>
      <c r="B219">
        <v>0.125</v>
      </c>
      <c r="C219">
        <v>0.11868131868131868</v>
      </c>
      <c r="D219">
        <v>0.21739130434782608</v>
      </c>
      <c r="E219">
        <v>0.13365758754863813</v>
      </c>
      <c r="F219">
        <v>0.30241935483870969</v>
      </c>
      <c r="G219">
        <v>8.5365853658536592E-2</v>
      </c>
      <c r="H219">
        <v>1</v>
      </c>
      <c r="I219">
        <v>0</v>
      </c>
      <c r="J219">
        <v>0</v>
      </c>
      <c r="K219">
        <v>0.3162838458679994</v>
      </c>
      <c r="L219">
        <v>1.4283416391899066E-3</v>
      </c>
    </row>
    <row r="220" spans="1:12">
      <c r="A220">
        <v>0.52575107296137336</v>
      </c>
      <c r="B220">
        <v>0.125</v>
      </c>
      <c r="C220">
        <v>3.7362637362637362E-2</v>
      </c>
      <c r="D220">
        <v>0.10434782608695652</v>
      </c>
      <c r="E220">
        <v>6.459143968871596E-2</v>
      </c>
      <c r="F220">
        <v>0.35483870967741937</v>
      </c>
      <c r="G220">
        <v>8.5365853658536592E-2</v>
      </c>
      <c r="H220">
        <v>0</v>
      </c>
      <c r="I220">
        <v>0</v>
      </c>
      <c r="J220">
        <v>1</v>
      </c>
      <c r="K220">
        <v>0.32394793727604482</v>
      </c>
      <c r="L220">
        <v>4.0724505572431118E-2</v>
      </c>
    </row>
    <row r="221" spans="1:12">
      <c r="A221">
        <v>0.18240343347639484</v>
      </c>
      <c r="B221">
        <v>0.625</v>
      </c>
      <c r="C221">
        <v>0.52087912087912092</v>
      </c>
      <c r="D221">
        <v>0.43043478260869567</v>
      </c>
      <c r="E221">
        <v>0.44105058365758754</v>
      </c>
      <c r="F221">
        <v>0.18145161290322581</v>
      </c>
      <c r="G221">
        <v>8.5365853658536592E-2</v>
      </c>
      <c r="H221">
        <v>1</v>
      </c>
      <c r="I221">
        <v>0</v>
      </c>
      <c r="J221">
        <v>0</v>
      </c>
      <c r="K221">
        <v>0.21519494372577022</v>
      </c>
      <c r="L221">
        <v>1.0752831444348905E-3</v>
      </c>
    </row>
    <row r="222" spans="1:12">
      <c r="A222">
        <v>0.17167381974248927</v>
      </c>
      <c r="B222">
        <v>0.625</v>
      </c>
      <c r="C222">
        <v>0.42197802197802198</v>
      </c>
      <c r="D222">
        <v>0.27826086956521739</v>
      </c>
      <c r="E222">
        <v>0.47607003891050581</v>
      </c>
      <c r="F222">
        <v>0.44354838709677419</v>
      </c>
      <c r="G222">
        <v>8.5365853658536592E-2</v>
      </c>
      <c r="H222">
        <v>1</v>
      </c>
      <c r="I222">
        <v>0</v>
      </c>
      <c r="J222">
        <v>0</v>
      </c>
      <c r="K222">
        <v>0.19793991641859246</v>
      </c>
      <c r="L222">
        <v>6.8990783459839909E-4</v>
      </c>
    </row>
    <row r="223" spans="1:12">
      <c r="A223">
        <v>0.13948497854077252</v>
      </c>
      <c r="B223">
        <v>0.625</v>
      </c>
      <c r="C223">
        <v>0.5494505494505495</v>
      </c>
      <c r="D223">
        <v>0.43043478260869567</v>
      </c>
      <c r="E223">
        <v>0.49163424124513616</v>
      </c>
      <c r="F223">
        <v>0.22983870967741932</v>
      </c>
      <c r="G223">
        <v>8.5365853658536592E-2</v>
      </c>
      <c r="H223">
        <v>1</v>
      </c>
      <c r="I223">
        <v>0</v>
      </c>
      <c r="J223">
        <v>0</v>
      </c>
      <c r="K223">
        <v>0.21079764094300812</v>
      </c>
      <c r="L223">
        <v>5.0854958188952274E-3</v>
      </c>
    </row>
    <row r="224" spans="1:12">
      <c r="A224">
        <v>0.12875536480686695</v>
      </c>
      <c r="B224">
        <v>0.625</v>
      </c>
      <c r="C224">
        <v>0.51428571428571423</v>
      </c>
      <c r="D224">
        <v>0.36521739130434783</v>
      </c>
      <c r="E224">
        <v>0.52178988326848252</v>
      </c>
      <c r="F224">
        <v>0.27822580645161293</v>
      </c>
      <c r="G224">
        <v>8.5365853658536592E-2</v>
      </c>
      <c r="H224">
        <v>1</v>
      </c>
      <c r="I224">
        <v>0</v>
      </c>
      <c r="J224">
        <v>0</v>
      </c>
      <c r="K224">
        <v>0.2002989189571332</v>
      </c>
      <c r="L224">
        <v>5.1184801404520796E-3</v>
      </c>
    </row>
    <row r="225" spans="1:12">
      <c r="A225">
        <v>0.18240343347639484</v>
      </c>
      <c r="B225">
        <v>0.375</v>
      </c>
      <c r="C225">
        <v>0.4</v>
      </c>
      <c r="D225">
        <v>0.27826086956521739</v>
      </c>
      <c r="E225">
        <v>0.37101167315175099</v>
      </c>
      <c r="F225">
        <v>0.33870967741935476</v>
      </c>
      <c r="G225">
        <v>8.5365853658536592E-2</v>
      </c>
      <c r="H225">
        <v>1</v>
      </c>
      <c r="I225">
        <v>0</v>
      </c>
      <c r="J225">
        <v>0</v>
      </c>
      <c r="K225">
        <v>0.24794538648047831</v>
      </c>
      <c r="L225">
        <v>4.2957476035894865E-3</v>
      </c>
    </row>
    <row r="226" spans="1:12">
      <c r="A226">
        <v>0.24678111587982832</v>
      </c>
      <c r="B226">
        <v>0.375</v>
      </c>
      <c r="C226">
        <v>0.35824175824175825</v>
      </c>
      <c r="D226">
        <v>0.2565217391304348</v>
      </c>
      <c r="E226">
        <v>0.35252918287937746</v>
      </c>
      <c r="F226">
        <v>0.35887096774193544</v>
      </c>
      <c r="G226">
        <v>8.5365853658536592E-2</v>
      </c>
      <c r="H226">
        <v>1</v>
      </c>
      <c r="I226">
        <v>0</v>
      </c>
      <c r="J226">
        <v>0</v>
      </c>
      <c r="K226">
        <v>0.2486123374700725</v>
      </c>
      <c r="L226">
        <v>3.3533725125764264E-6</v>
      </c>
    </row>
    <row r="227" spans="1:12">
      <c r="A227">
        <v>0.21459227467811159</v>
      </c>
      <c r="B227">
        <v>0.375</v>
      </c>
      <c r="C227">
        <v>0.34505494505494505</v>
      </c>
      <c r="D227">
        <v>0.23478260869565218</v>
      </c>
      <c r="E227">
        <v>0.3924124513618677</v>
      </c>
      <c r="F227">
        <v>0.3911290322580645</v>
      </c>
      <c r="G227">
        <v>8.5365853658536592E-2</v>
      </c>
      <c r="H227">
        <v>1</v>
      </c>
      <c r="I227">
        <v>0</v>
      </c>
      <c r="J227">
        <v>0</v>
      </c>
      <c r="K227">
        <v>0.24362715056986173</v>
      </c>
      <c r="L227">
        <v>8.4302401804933313E-4</v>
      </c>
    </row>
    <row r="228" spans="1:12">
      <c r="A228">
        <v>0.20386266094420599</v>
      </c>
      <c r="B228">
        <v>0.375</v>
      </c>
      <c r="C228">
        <v>0.4</v>
      </c>
      <c r="D228">
        <v>0.22608695652173913</v>
      </c>
      <c r="E228">
        <v>0.37198443579766538</v>
      </c>
      <c r="F228">
        <v>0.44354838709677419</v>
      </c>
      <c r="G228">
        <v>8.5365853658536592E-2</v>
      </c>
      <c r="H228">
        <v>1</v>
      </c>
      <c r="I228">
        <v>0</v>
      </c>
      <c r="J228">
        <v>0</v>
      </c>
      <c r="K228">
        <v>0.24056371087451811</v>
      </c>
      <c r="L228">
        <v>1.3469670659872631E-3</v>
      </c>
    </row>
    <row r="229" spans="1:12">
      <c r="A229">
        <v>0.15021459227467809</v>
      </c>
      <c r="B229">
        <v>0.625</v>
      </c>
      <c r="C229">
        <v>0.72967032967032963</v>
      </c>
      <c r="D229">
        <v>0.58260869565217388</v>
      </c>
      <c r="E229">
        <v>0.50719844357976651</v>
      </c>
      <c r="F229">
        <v>0.12499999999999999</v>
      </c>
      <c r="G229">
        <v>8.5365853658536592E-2</v>
      </c>
      <c r="H229">
        <v>1</v>
      </c>
      <c r="I229">
        <v>0</v>
      </c>
      <c r="J229">
        <v>0</v>
      </c>
      <c r="K229">
        <v>0.22208327357953411</v>
      </c>
      <c r="L229">
        <v>5.165107352498961E-3</v>
      </c>
    </row>
    <row r="230" spans="1:12">
      <c r="A230">
        <v>0.13948497854077252</v>
      </c>
      <c r="B230">
        <v>0.625</v>
      </c>
      <c r="C230">
        <v>0.6197802197802198</v>
      </c>
      <c r="D230">
        <v>0.53913043478260869</v>
      </c>
      <c r="E230">
        <v>0.49649805447470818</v>
      </c>
      <c r="F230">
        <v>0.1370967741935484</v>
      </c>
      <c r="G230">
        <v>8.5365853658536592E-2</v>
      </c>
      <c r="H230">
        <v>1</v>
      </c>
      <c r="I230">
        <v>0</v>
      </c>
      <c r="J230">
        <v>0</v>
      </c>
      <c r="K230">
        <v>0.22296443551490042</v>
      </c>
      <c r="L230">
        <v>6.968819736695271E-3</v>
      </c>
    </row>
    <row r="231" spans="1:12">
      <c r="A231">
        <v>0.13948497854077252</v>
      </c>
      <c r="B231">
        <v>0.625</v>
      </c>
      <c r="C231">
        <v>0.72967032967032963</v>
      </c>
      <c r="D231">
        <v>0.62608695652173918</v>
      </c>
      <c r="E231">
        <v>0.52762645914396888</v>
      </c>
      <c r="F231">
        <v>0.16935483870967738</v>
      </c>
      <c r="G231">
        <v>8.5365853658536592E-2</v>
      </c>
      <c r="H231">
        <v>1</v>
      </c>
      <c r="I231">
        <v>0</v>
      </c>
      <c r="J231">
        <v>0</v>
      </c>
      <c r="K231">
        <v>0.22964595431261339</v>
      </c>
      <c r="L231">
        <v>8.129001552130477E-3</v>
      </c>
    </row>
    <row r="232" spans="1:12">
      <c r="A232">
        <v>0.15021459227467809</v>
      </c>
      <c r="B232">
        <v>0.625</v>
      </c>
      <c r="C232">
        <v>0.62197802197802199</v>
      </c>
      <c r="D232">
        <v>0.44782608695652176</v>
      </c>
      <c r="E232">
        <v>0.52957198443579767</v>
      </c>
      <c r="F232">
        <v>0.26209677419354838</v>
      </c>
      <c r="G232">
        <v>8.5365853658536592E-2</v>
      </c>
      <c r="H232">
        <v>1</v>
      </c>
      <c r="I232">
        <v>0</v>
      </c>
      <c r="J232">
        <v>0</v>
      </c>
      <c r="K232">
        <v>0.2063700577989441</v>
      </c>
      <c r="L232">
        <v>3.1534363082470281E-3</v>
      </c>
    </row>
    <row r="233" spans="1:12">
      <c r="A233">
        <v>0.42918454935622319</v>
      </c>
      <c r="B233">
        <v>0.125</v>
      </c>
      <c r="C233">
        <v>6.3736263736263732E-2</v>
      </c>
      <c r="D233">
        <v>0.1391304347826087</v>
      </c>
      <c r="E233">
        <v>6.3618677042801552E-2</v>
      </c>
      <c r="F233">
        <v>0.26209677419354838</v>
      </c>
      <c r="G233">
        <v>8.5365853658536592E-2</v>
      </c>
      <c r="H233">
        <v>0</v>
      </c>
      <c r="I233">
        <v>1</v>
      </c>
      <c r="J233">
        <v>0</v>
      </c>
      <c r="K233">
        <v>0.31554191355838102</v>
      </c>
      <c r="L233">
        <v>1.2914648671080999E-2</v>
      </c>
    </row>
    <row r="234" spans="1:12">
      <c r="A234">
        <v>0.33261802575107297</v>
      </c>
      <c r="B234">
        <v>0.125</v>
      </c>
      <c r="C234">
        <v>0.18241758241758241</v>
      </c>
      <c r="D234">
        <v>0.18260869565217391</v>
      </c>
      <c r="E234">
        <v>0.21926070038910506</v>
      </c>
      <c r="F234">
        <v>0.32258064516129031</v>
      </c>
      <c r="G234">
        <v>8.5365853658536592E-2</v>
      </c>
      <c r="H234">
        <v>1</v>
      </c>
      <c r="I234">
        <v>0</v>
      </c>
      <c r="J234">
        <v>0</v>
      </c>
      <c r="K234">
        <v>0.29955459638509241</v>
      </c>
      <c r="L234">
        <v>1.0931903614391854E-3</v>
      </c>
    </row>
    <row r="235" spans="1:12">
      <c r="A235">
        <v>0.36480686695278969</v>
      </c>
      <c r="B235">
        <v>0.125</v>
      </c>
      <c r="C235">
        <v>6.3736263736263732E-2</v>
      </c>
      <c r="D235">
        <v>0.12608695652173912</v>
      </c>
      <c r="E235">
        <v>0.12684824902723735</v>
      </c>
      <c r="F235">
        <v>0.41129032258064513</v>
      </c>
      <c r="G235">
        <v>8.5365853658536592E-2</v>
      </c>
      <c r="H235">
        <v>0</v>
      </c>
      <c r="I235">
        <v>0</v>
      </c>
      <c r="J235">
        <v>1</v>
      </c>
      <c r="K235">
        <v>0.32418720806326767</v>
      </c>
      <c r="L235">
        <v>1.6499566883011248E-3</v>
      </c>
    </row>
    <row r="236" spans="1:12">
      <c r="A236">
        <v>0.35407725321888411</v>
      </c>
      <c r="B236">
        <v>0.125</v>
      </c>
      <c r="C236">
        <v>0.15824175824175823</v>
      </c>
      <c r="D236">
        <v>0.18695652173913044</v>
      </c>
      <c r="E236">
        <v>0.22217898832684824</v>
      </c>
      <c r="F236">
        <v>0.31451612903225806</v>
      </c>
      <c r="G236">
        <v>8.5365853658536592E-2</v>
      </c>
      <c r="H236">
        <v>1</v>
      </c>
      <c r="I236">
        <v>0</v>
      </c>
      <c r="J236">
        <v>0</v>
      </c>
      <c r="K236">
        <v>0.30179569883595114</v>
      </c>
      <c r="L236">
        <v>2.7333609286955777E-3</v>
      </c>
    </row>
    <row r="237" spans="1:12">
      <c r="A237">
        <v>0.46137339055793991</v>
      </c>
      <c r="B237">
        <v>0.125</v>
      </c>
      <c r="C237">
        <v>6.5934065934065936E-2</v>
      </c>
      <c r="D237">
        <v>7.3913043478260873E-2</v>
      </c>
      <c r="E237">
        <v>8.521400778210117E-2</v>
      </c>
      <c r="F237">
        <v>0.36290322580645162</v>
      </c>
      <c r="G237">
        <v>8.5365853658536592E-2</v>
      </c>
      <c r="H237">
        <v>1</v>
      </c>
      <c r="I237">
        <v>0</v>
      </c>
      <c r="J237">
        <v>0</v>
      </c>
      <c r="K237">
        <v>0.29791304144072223</v>
      </c>
      <c r="L237">
        <v>2.6719285733522689E-2</v>
      </c>
    </row>
    <row r="238" spans="1:12">
      <c r="A238">
        <v>0.52575107296137336</v>
      </c>
      <c r="B238">
        <v>0.125</v>
      </c>
      <c r="C238">
        <v>6.5934065934065936E-2</v>
      </c>
      <c r="D238">
        <v>0.16086956521739129</v>
      </c>
      <c r="E238">
        <v>8.9883268482490272E-2</v>
      </c>
      <c r="F238">
        <v>0.31854838709677419</v>
      </c>
      <c r="G238">
        <v>8.5365853658536592E-2</v>
      </c>
      <c r="H238">
        <v>1</v>
      </c>
      <c r="I238">
        <v>0</v>
      </c>
      <c r="J238">
        <v>0</v>
      </c>
      <c r="K238">
        <v>0.31283165853240547</v>
      </c>
      <c r="L238">
        <v>4.5334677040774582E-2</v>
      </c>
    </row>
    <row r="239" spans="1:12">
      <c r="A239">
        <v>0.45064377682403434</v>
      </c>
      <c r="B239">
        <v>0.125</v>
      </c>
      <c r="C239">
        <v>6.3736263736263732E-2</v>
      </c>
      <c r="D239">
        <v>9.1304347826086957E-2</v>
      </c>
      <c r="E239">
        <v>7.2373540856031135E-2</v>
      </c>
      <c r="F239">
        <v>0.33870967741935476</v>
      </c>
      <c r="G239">
        <v>8.5365853658536592E-2</v>
      </c>
      <c r="H239">
        <v>0</v>
      </c>
      <c r="I239">
        <v>0</v>
      </c>
      <c r="J239">
        <v>1</v>
      </c>
      <c r="K239">
        <v>0.32443274080658718</v>
      </c>
      <c r="L239">
        <v>1.5929225612597343E-2</v>
      </c>
    </row>
    <row r="240" spans="1:12">
      <c r="A240">
        <v>0.46137339055793991</v>
      </c>
      <c r="B240">
        <v>0.125</v>
      </c>
      <c r="C240">
        <v>6.3736263736263732E-2</v>
      </c>
      <c r="D240">
        <v>0.1391304347826087</v>
      </c>
      <c r="E240">
        <v>0.1122568093385214</v>
      </c>
      <c r="F240">
        <v>0.24596774193548385</v>
      </c>
      <c r="G240">
        <v>8.5365853658536592E-2</v>
      </c>
      <c r="H240">
        <v>0</v>
      </c>
      <c r="I240">
        <v>1</v>
      </c>
      <c r="J240">
        <v>0</v>
      </c>
      <c r="K240">
        <v>0.31653351667764346</v>
      </c>
      <c r="L240">
        <v>2.0978589065660184E-2</v>
      </c>
    </row>
    <row r="241" spans="1:12">
      <c r="A241">
        <v>0.27896995708154504</v>
      </c>
      <c r="B241">
        <v>0.375</v>
      </c>
      <c r="C241">
        <v>0.17142857142857143</v>
      </c>
      <c r="D241">
        <v>0.22173913043478261</v>
      </c>
      <c r="E241">
        <v>0.23385214007782101</v>
      </c>
      <c r="F241">
        <v>0.26209677419354838</v>
      </c>
      <c r="G241">
        <v>8.5365853658536592E-2</v>
      </c>
      <c r="H241">
        <v>0</v>
      </c>
      <c r="I241">
        <v>0</v>
      </c>
      <c r="J241">
        <v>1</v>
      </c>
      <c r="K241">
        <v>0.32292784634696131</v>
      </c>
      <c r="L241">
        <v>1.9322960286705991E-3</v>
      </c>
    </row>
    <row r="242" spans="1:12">
      <c r="A242">
        <v>0.26824034334763946</v>
      </c>
      <c r="B242">
        <v>0.125</v>
      </c>
      <c r="C242">
        <v>0.11648351648351649</v>
      </c>
      <c r="D242">
        <v>0.27826086956521739</v>
      </c>
      <c r="E242">
        <v>0.19202334630350196</v>
      </c>
      <c r="F242">
        <v>0.19354838709677422</v>
      </c>
      <c r="G242">
        <v>8.5365853658536592E-2</v>
      </c>
      <c r="H242">
        <v>0</v>
      </c>
      <c r="I242">
        <v>1</v>
      </c>
      <c r="J242">
        <v>0</v>
      </c>
      <c r="K242">
        <v>0.31443241470899996</v>
      </c>
      <c r="L242">
        <v>2.1337074566530208E-3</v>
      </c>
    </row>
    <row r="243" spans="1:12">
      <c r="A243">
        <v>0.26824034334763946</v>
      </c>
      <c r="B243">
        <v>0</v>
      </c>
      <c r="C243">
        <v>2.6373626373626374E-2</v>
      </c>
      <c r="D243">
        <v>0.27826086956521739</v>
      </c>
      <c r="E243">
        <v>0.21536964980544748</v>
      </c>
      <c r="F243">
        <v>0.22177419354838709</v>
      </c>
      <c r="G243">
        <v>8.5365853658536592E-2</v>
      </c>
      <c r="H243">
        <v>0</v>
      </c>
      <c r="I243">
        <v>0</v>
      </c>
      <c r="J243">
        <v>1</v>
      </c>
      <c r="K243">
        <v>0.32192628483974106</v>
      </c>
      <c r="L243">
        <v>2.882180313893356E-3</v>
      </c>
    </row>
    <row r="244" spans="1:12">
      <c r="A244">
        <v>0.73175965665236054</v>
      </c>
      <c r="B244">
        <v>0.125</v>
      </c>
      <c r="C244">
        <v>4.8351648351648353E-2</v>
      </c>
      <c r="D244">
        <v>8.6956521739130436E-3</v>
      </c>
      <c r="E244">
        <v>7.2373540856031135E-2</v>
      </c>
      <c r="F244">
        <v>0.54435483870967738</v>
      </c>
      <c r="G244">
        <v>9.7560975609756101E-2</v>
      </c>
      <c r="H244">
        <v>0</v>
      </c>
      <c r="I244">
        <v>1</v>
      </c>
      <c r="J244">
        <v>0</v>
      </c>
      <c r="K244">
        <v>0.32335545267826188</v>
      </c>
      <c r="L244">
        <v>0.16679399382371718</v>
      </c>
    </row>
    <row r="245" spans="1:12">
      <c r="A245">
        <v>0.58154506437768239</v>
      </c>
      <c r="B245">
        <v>0.125</v>
      </c>
      <c r="C245">
        <v>6.5934065934065936E-2</v>
      </c>
      <c r="D245">
        <v>8.6956521739130432E-2</v>
      </c>
      <c r="E245">
        <v>3.6381322957198446E-2</v>
      </c>
      <c r="F245">
        <v>0.25806451612903225</v>
      </c>
      <c r="G245">
        <v>9.7560975609756101E-2</v>
      </c>
      <c r="H245">
        <v>1</v>
      </c>
      <c r="I245">
        <v>0</v>
      </c>
      <c r="J245">
        <v>0</v>
      </c>
      <c r="K245">
        <v>0.3017849097546228</v>
      </c>
      <c r="L245">
        <v>7.8265744114718205E-2</v>
      </c>
    </row>
    <row r="246" spans="1:12">
      <c r="A246">
        <v>0.51072961373390546</v>
      </c>
      <c r="B246">
        <v>0.125</v>
      </c>
      <c r="C246">
        <v>2.197802197802198E-2</v>
      </c>
      <c r="D246">
        <v>2.6086956521739129E-2</v>
      </c>
      <c r="E246">
        <v>7.2373540856031135E-2</v>
      </c>
      <c r="F246">
        <v>0.45967741935483863</v>
      </c>
      <c r="G246">
        <v>9.7560975609756101E-2</v>
      </c>
      <c r="H246">
        <v>0</v>
      </c>
      <c r="I246">
        <v>0</v>
      </c>
      <c r="J246">
        <v>1</v>
      </c>
      <c r="K246">
        <v>0.32549887345411677</v>
      </c>
      <c r="L246">
        <v>3.4310427144598532E-2</v>
      </c>
    </row>
    <row r="247" spans="1:12">
      <c r="A247">
        <v>0.6523605150214592</v>
      </c>
      <c r="B247">
        <v>0.125</v>
      </c>
      <c r="C247">
        <v>3.7362637362637362E-2</v>
      </c>
      <c r="D247">
        <v>0.10434782608695652</v>
      </c>
      <c r="E247">
        <v>8.8910505836575879E-2</v>
      </c>
      <c r="F247">
        <v>0.42741935483870974</v>
      </c>
      <c r="G247">
        <v>9.7560975609756101E-2</v>
      </c>
      <c r="H247">
        <v>0</v>
      </c>
      <c r="I247">
        <v>0</v>
      </c>
      <c r="J247">
        <v>1</v>
      </c>
      <c r="K247">
        <v>0.32483121802472664</v>
      </c>
      <c r="L247">
        <v>0.10727544039117384</v>
      </c>
    </row>
    <row r="248" spans="1:12">
      <c r="A248">
        <v>0.58154506437768239</v>
      </c>
      <c r="B248">
        <v>0.125</v>
      </c>
      <c r="C248">
        <v>5.054945054945055E-2</v>
      </c>
      <c r="D248">
        <v>6.0869565217391307E-2</v>
      </c>
      <c r="E248">
        <v>3.6381322957198446E-2</v>
      </c>
      <c r="F248">
        <v>0.33870967741935476</v>
      </c>
      <c r="G248">
        <v>9.7560975609756101E-2</v>
      </c>
      <c r="H248">
        <v>0</v>
      </c>
      <c r="I248">
        <v>0</v>
      </c>
      <c r="J248">
        <v>1</v>
      </c>
      <c r="K248">
        <v>0.32518929210200426</v>
      </c>
      <c r="L248">
        <v>6.5718281979059337E-2</v>
      </c>
    </row>
    <row r="249" spans="1:12">
      <c r="A249">
        <v>0.23390557939914158</v>
      </c>
      <c r="B249">
        <v>0.625</v>
      </c>
      <c r="C249">
        <v>0.42197802197802198</v>
      </c>
      <c r="D249">
        <v>0.27826086956521739</v>
      </c>
      <c r="E249">
        <v>0.34085603112840468</v>
      </c>
      <c r="F249">
        <v>0.30241935483870969</v>
      </c>
      <c r="G249">
        <v>9.7560975609756101E-2</v>
      </c>
      <c r="H249">
        <v>1</v>
      </c>
      <c r="I249">
        <v>0</v>
      </c>
      <c r="J249">
        <v>0</v>
      </c>
      <c r="K249">
        <v>0.20453149313800228</v>
      </c>
      <c r="L249">
        <v>8.6283694367685244E-4</v>
      </c>
    </row>
    <row r="250" spans="1:12">
      <c r="A250">
        <v>0.22317596566523601</v>
      </c>
      <c r="B250">
        <v>0.625</v>
      </c>
      <c r="C250">
        <v>0.5494505494505495</v>
      </c>
      <c r="D250">
        <v>0.40869565217391307</v>
      </c>
      <c r="E250">
        <v>0.41284046692607002</v>
      </c>
      <c r="F250">
        <v>0.20967741935483866</v>
      </c>
      <c r="G250">
        <v>9.7560975609756101E-2</v>
      </c>
      <c r="H250">
        <v>1</v>
      </c>
      <c r="I250">
        <v>0</v>
      </c>
      <c r="J250">
        <v>0</v>
      </c>
      <c r="K250">
        <v>0.2124828652124531</v>
      </c>
      <c r="L250">
        <v>1.1434239729330597E-4</v>
      </c>
    </row>
    <row r="251" spans="1:12">
      <c r="A251">
        <v>0.24034334763948495</v>
      </c>
      <c r="B251">
        <v>0.625</v>
      </c>
      <c r="C251">
        <v>0.51428571428571423</v>
      </c>
      <c r="D251">
        <v>0.40434782608695652</v>
      </c>
      <c r="E251">
        <v>0.38073929961089492</v>
      </c>
      <c r="F251">
        <v>0.19354838709677422</v>
      </c>
      <c r="G251">
        <v>9.7560975609756101E-2</v>
      </c>
      <c r="H251">
        <v>1</v>
      </c>
      <c r="I251">
        <v>0</v>
      </c>
      <c r="J251">
        <v>0</v>
      </c>
      <c r="K251">
        <v>0.2160329687040502</v>
      </c>
      <c r="L251">
        <v>5.909945239844297E-4</v>
      </c>
    </row>
    <row r="252" spans="1:12">
      <c r="A252">
        <v>0.2188841201716738</v>
      </c>
      <c r="B252">
        <v>0.375</v>
      </c>
      <c r="C252">
        <v>0.35824175824175825</v>
      </c>
      <c r="D252">
        <v>0.2565217391304348</v>
      </c>
      <c r="E252">
        <v>0.37392996108949417</v>
      </c>
      <c r="F252">
        <v>0.45161290322580638</v>
      </c>
      <c r="G252">
        <v>9.7560975609756101E-2</v>
      </c>
      <c r="H252">
        <v>1</v>
      </c>
      <c r="I252">
        <v>0</v>
      </c>
      <c r="J252">
        <v>0</v>
      </c>
      <c r="K252">
        <v>0.25048672649345305</v>
      </c>
      <c r="L252">
        <v>9.9872472632936155E-4</v>
      </c>
    </row>
    <row r="253" spans="1:12">
      <c r="A253">
        <v>0.24678111587982832</v>
      </c>
      <c r="B253">
        <v>0.375</v>
      </c>
      <c r="C253">
        <v>0.29010989010989013</v>
      </c>
      <c r="D253">
        <v>0.21304347826086956</v>
      </c>
      <c r="E253">
        <v>0.3</v>
      </c>
      <c r="F253">
        <v>0.41129032258064513</v>
      </c>
      <c r="G253">
        <v>9.7560975609756101E-2</v>
      </c>
      <c r="H253">
        <v>1</v>
      </c>
      <c r="I253">
        <v>0</v>
      </c>
      <c r="J253">
        <v>0</v>
      </c>
      <c r="K253">
        <v>0.25137564296117876</v>
      </c>
      <c r="L253">
        <v>2.1109679101262604E-5</v>
      </c>
    </row>
    <row r="254" spans="1:12">
      <c r="A254">
        <v>0.24034334763948495</v>
      </c>
      <c r="B254">
        <v>0.375</v>
      </c>
      <c r="C254">
        <v>0.29010989010989013</v>
      </c>
      <c r="D254">
        <v>0.16956521739130434</v>
      </c>
      <c r="E254">
        <v>0.26303501945525293</v>
      </c>
      <c r="F254">
        <v>0.31451612903225806</v>
      </c>
      <c r="G254">
        <v>9.7560975609756101E-2</v>
      </c>
      <c r="H254">
        <v>1</v>
      </c>
      <c r="I254">
        <v>0</v>
      </c>
      <c r="J254">
        <v>0</v>
      </c>
      <c r="K254">
        <v>0.2435103898035576</v>
      </c>
      <c r="L254">
        <v>1.0030156069013994E-5</v>
      </c>
    </row>
    <row r="255" spans="1:12">
      <c r="A255">
        <v>0.3454935622317597</v>
      </c>
      <c r="B255">
        <v>0.125</v>
      </c>
      <c r="C255">
        <v>0.15824175824175823</v>
      </c>
      <c r="D255">
        <v>0.18260869565217391</v>
      </c>
      <c r="E255">
        <v>0.21536964980544748</v>
      </c>
      <c r="F255">
        <v>0.29838709677419356</v>
      </c>
      <c r="G255">
        <v>9.7560975609756101E-2</v>
      </c>
      <c r="H255">
        <v>1</v>
      </c>
      <c r="I255">
        <v>0</v>
      </c>
      <c r="J255">
        <v>0</v>
      </c>
      <c r="K255">
        <v>0.30239609585611055</v>
      </c>
      <c r="L255">
        <v>1.8573916080002093E-3</v>
      </c>
    </row>
    <row r="256" spans="1:12">
      <c r="A256">
        <v>0.24678111587982832</v>
      </c>
      <c r="B256">
        <v>0.375</v>
      </c>
      <c r="C256">
        <v>0.34505494505494505</v>
      </c>
      <c r="D256">
        <v>0.23478260869565218</v>
      </c>
      <c r="E256">
        <v>0.35350194552529185</v>
      </c>
      <c r="F256">
        <v>0.37096774193548382</v>
      </c>
      <c r="G256">
        <v>9.7560975609756101E-2</v>
      </c>
      <c r="H256">
        <v>1</v>
      </c>
      <c r="I256">
        <v>0</v>
      </c>
      <c r="J256">
        <v>0</v>
      </c>
      <c r="K256">
        <v>0.24689719803859853</v>
      </c>
      <c r="L256">
        <v>1.3475067584751958E-8</v>
      </c>
    </row>
    <row r="257" spans="1:12">
      <c r="A257">
        <v>0.22317596566523601</v>
      </c>
      <c r="B257">
        <v>0.375</v>
      </c>
      <c r="C257">
        <v>0.36043956043956044</v>
      </c>
      <c r="D257">
        <v>0.19130434782608696</v>
      </c>
      <c r="E257">
        <v>0.31070038910505837</v>
      </c>
      <c r="F257">
        <v>0.37096774193548382</v>
      </c>
      <c r="G257">
        <v>9.7560975609756101E-2</v>
      </c>
      <c r="H257">
        <v>1</v>
      </c>
      <c r="I257">
        <v>0</v>
      </c>
      <c r="J257">
        <v>0</v>
      </c>
      <c r="K257">
        <v>0.24056348772850802</v>
      </c>
      <c r="L257">
        <v>3.0232592350077112E-4</v>
      </c>
    </row>
    <row r="258" spans="1:12">
      <c r="A258">
        <v>0.24892703862660948</v>
      </c>
      <c r="B258">
        <v>0.375</v>
      </c>
      <c r="C258">
        <v>0.35824175824175825</v>
      </c>
      <c r="D258">
        <v>0.2565217391304348</v>
      </c>
      <c r="E258">
        <v>0.34377431906614786</v>
      </c>
      <c r="F258">
        <v>0.31451612903225806</v>
      </c>
      <c r="G258">
        <v>9.7560975609756101E-2</v>
      </c>
      <c r="H258">
        <v>1</v>
      </c>
      <c r="I258">
        <v>0</v>
      </c>
      <c r="J258">
        <v>0</v>
      </c>
      <c r="K258">
        <v>0.24929040737459074</v>
      </c>
      <c r="L258">
        <v>1.3203684700947066E-7</v>
      </c>
    </row>
    <row r="259" spans="1:12">
      <c r="A259">
        <v>0.25321888412017168</v>
      </c>
      <c r="B259">
        <v>0.375</v>
      </c>
      <c r="C259">
        <v>0.29010989010989013</v>
      </c>
      <c r="D259">
        <v>0.16956521739130434</v>
      </c>
      <c r="E259">
        <v>0.28346303501945525</v>
      </c>
      <c r="F259">
        <v>0.35080645161290319</v>
      </c>
      <c r="G259">
        <v>9.7560975609756101E-2</v>
      </c>
      <c r="H259">
        <v>1</v>
      </c>
      <c r="I259">
        <v>0</v>
      </c>
      <c r="J259">
        <v>0</v>
      </c>
      <c r="K259">
        <v>0.24300529349805852</v>
      </c>
      <c r="L259">
        <v>1.0431743339611791E-4</v>
      </c>
    </row>
    <row r="260" spans="1:12">
      <c r="A260">
        <v>0.20600858369098715</v>
      </c>
      <c r="B260">
        <v>0.375</v>
      </c>
      <c r="C260">
        <v>0.34505494505494505</v>
      </c>
      <c r="D260">
        <v>0.27826086956521739</v>
      </c>
      <c r="E260">
        <v>0.39046692607003891</v>
      </c>
      <c r="F260">
        <v>0.43145161290322576</v>
      </c>
      <c r="G260">
        <v>9.7560975609756101E-2</v>
      </c>
      <c r="H260">
        <v>1</v>
      </c>
      <c r="I260">
        <v>0</v>
      </c>
      <c r="J260">
        <v>0</v>
      </c>
      <c r="K260">
        <v>0.25390360696889452</v>
      </c>
      <c r="L260">
        <v>2.2939332547912889E-3</v>
      </c>
    </row>
    <row r="261" spans="1:12">
      <c r="A261">
        <v>0.19527896995708158</v>
      </c>
      <c r="B261">
        <v>0.375</v>
      </c>
      <c r="C261">
        <v>0.4175824175824176</v>
      </c>
      <c r="D261">
        <v>0.32173913043478258</v>
      </c>
      <c r="E261">
        <v>0.34961089494163422</v>
      </c>
      <c r="F261">
        <v>0.28629032258064513</v>
      </c>
      <c r="G261">
        <v>9.7560975609756101E-2</v>
      </c>
      <c r="H261">
        <v>1</v>
      </c>
      <c r="I261">
        <v>0</v>
      </c>
      <c r="J261">
        <v>0</v>
      </c>
      <c r="K261">
        <v>0.25598480529427736</v>
      </c>
      <c r="L261">
        <v>3.6851984439867287E-3</v>
      </c>
    </row>
    <row r="262" spans="1:12">
      <c r="A262">
        <v>0.2188841201716738</v>
      </c>
      <c r="B262">
        <v>0.625</v>
      </c>
      <c r="C262">
        <v>0.52087912087912092</v>
      </c>
      <c r="D262">
        <v>0.43043478260869567</v>
      </c>
      <c r="E262">
        <v>0.35252918287937746</v>
      </c>
      <c r="F262">
        <v>0.20967741935483866</v>
      </c>
      <c r="G262">
        <v>9.7560975609756101E-2</v>
      </c>
      <c r="H262">
        <v>1</v>
      </c>
      <c r="I262">
        <v>0</v>
      </c>
      <c r="J262">
        <v>0</v>
      </c>
      <c r="K262">
        <v>0.22258028747506853</v>
      </c>
      <c r="L262">
        <v>1.3661652734684242E-5</v>
      </c>
    </row>
    <row r="263" spans="1:12">
      <c r="A263">
        <v>0.18669527896995705</v>
      </c>
      <c r="B263">
        <v>0.375</v>
      </c>
      <c r="C263">
        <v>0.35824175824175825</v>
      </c>
      <c r="D263">
        <v>0.5173913043478261</v>
      </c>
      <c r="E263">
        <v>0.35642023346303503</v>
      </c>
      <c r="F263">
        <v>0.21774193548387097</v>
      </c>
      <c r="G263">
        <v>9.7560975609756101E-2</v>
      </c>
      <c r="H263">
        <v>1</v>
      </c>
      <c r="I263">
        <v>0</v>
      </c>
      <c r="J263">
        <v>0</v>
      </c>
      <c r="K263">
        <v>0.29456091277389829</v>
      </c>
      <c r="L263">
        <v>1.163499495592595E-2</v>
      </c>
    </row>
    <row r="264" spans="1:12">
      <c r="A264">
        <v>0.19527896995708158</v>
      </c>
      <c r="B264">
        <v>0.625</v>
      </c>
      <c r="C264">
        <v>0.51428571428571423</v>
      </c>
      <c r="D264">
        <v>0.40434782608695652</v>
      </c>
      <c r="E264">
        <v>0.30972762645914398</v>
      </c>
      <c r="F264">
        <v>0.1290322580645161</v>
      </c>
      <c r="G264">
        <v>9.7560975609756101E-2</v>
      </c>
      <c r="H264">
        <v>1</v>
      </c>
      <c r="I264">
        <v>0</v>
      </c>
      <c r="J264">
        <v>0</v>
      </c>
      <c r="K264">
        <v>0.21909212242748385</v>
      </c>
      <c r="L264">
        <v>5.6706623057862604E-4</v>
      </c>
    </row>
    <row r="265" spans="1:12">
      <c r="A265">
        <v>0.18240343347639484</v>
      </c>
      <c r="B265">
        <v>0.625</v>
      </c>
      <c r="C265">
        <v>0.5494505494505495</v>
      </c>
      <c r="D265">
        <v>0.40869565217391307</v>
      </c>
      <c r="E265">
        <v>0.47996108949416344</v>
      </c>
      <c r="F265">
        <v>0.22983870967741932</v>
      </c>
      <c r="G265">
        <v>9.7560975609756101E-2</v>
      </c>
      <c r="H265">
        <v>1</v>
      </c>
      <c r="I265">
        <v>0</v>
      </c>
      <c r="J265">
        <v>0</v>
      </c>
      <c r="K265">
        <v>0.20823938839697337</v>
      </c>
      <c r="L265">
        <v>6.6749656665816566E-4</v>
      </c>
    </row>
    <row r="266" spans="1:12">
      <c r="A266">
        <v>0.45064377682403434</v>
      </c>
      <c r="B266">
        <v>0.125</v>
      </c>
      <c r="C266">
        <v>6.5934065934065936E-2</v>
      </c>
      <c r="D266">
        <v>9.5652173913043481E-2</v>
      </c>
      <c r="E266">
        <v>0.10544747081712062</v>
      </c>
      <c r="F266">
        <v>0.34274193548387094</v>
      </c>
      <c r="G266">
        <v>9.7560975609756101E-2</v>
      </c>
      <c r="H266">
        <v>1</v>
      </c>
      <c r="I266">
        <v>0</v>
      </c>
      <c r="J266">
        <v>0</v>
      </c>
      <c r="K266">
        <v>0.30120209470053533</v>
      </c>
      <c r="L266">
        <v>2.2332816355900922E-2</v>
      </c>
    </row>
    <row r="267" spans="1:12">
      <c r="A267">
        <v>0.39699570815450641</v>
      </c>
      <c r="B267">
        <v>0.125</v>
      </c>
      <c r="C267">
        <v>0.14505494505494507</v>
      </c>
      <c r="D267">
        <v>0.21304347826086956</v>
      </c>
      <c r="E267">
        <v>0.18424124513618678</v>
      </c>
      <c r="F267">
        <v>0.24999999999999997</v>
      </c>
      <c r="G267">
        <v>9.7560975609756101E-2</v>
      </c>
      <c r="H267">
        <v>0</v>
      </c>
      <c r="I267">
        <v>0</v>
      </c>
      <c r="J267">
        <v>1</v>
      </c>
      <c r="K267">
        <v>0.32440742692690938</v>
      </c>
      <c r="L267">
        <v>5.2690585715767149E-3</v>
      </c>
    </row>
    <row r="268" spans="1:12">
      <c r="A268">
        <v>0.39055793991416304</v>
      </c>
      <c r="B268">
        <v>0.125</v>
      </c>
      <c r="C268">
        <v>0.11208791208791209</v>
      </c>
      <c r="D268">
        <v>0.22173913043478261</v>
      </c>
      <c r="E268">
        <v>0.13365758754863813</v>
      </c>
      <c r="F268">
        <v>0.27016129032258063</v>
      </c>
      <c r="G268">
        <v>9.7560975609756101E-2</v>
      </c>
      <c r="H268">
        <v>0</v>
      </c>
      <c r="I268">
        <v>0</v>
      </c>
      <c r="J268">
        <v>1</v>
      </c>
      <c r="K268">
        <v>0.3240831381053591</v>
      </c>
      <c r="L268">
        <v>4.4188992755197637E-3</v>
      </c>
    </row>
    <row r="269" spans="1:12">
      <c r="A269">
        <v>0.46995708154506433</v>
      </c>
      <c r="B269">
        <v>0.125</v>
      </c>
      <c r="C269">
        <v>8.1318681318681321E-2</v>
      </c>
      <c r="D269">
        <v>0.12608695652173912</v>
      </c>
      <c r="E269">
        <v>0.12003891050583658</v>
      </c>
      <c r="F269">
        <v>0.26209677419354838</v>
      </c>
      <c r="G269">
        <v>9.7560975609756101E-2</v>
      </c>
      <c r="H269">
        <v>1</v>
      </c>
      <c r="I269">
        <v>0</v>
      </c>
      <c r="J269">
        <v>0</v>
      </c>
      <c r="K269">
        <v>0.303057693091564</v>
      </c>
      <c r="L269">
        <v>2.78554058661524E-2</v>
      </c>
    </row>
    <row r="270" spans="1:12">
      <c r="A270">
        <v>0.25965665236051505</v>
      </c>
      <c r="B270">
        <v>0.125</v>
      </c>
      <c r="C270">
        <v>0.14505494505494507</v>
      </c>
      <c r="D270">
        <v>0.21304347826086956</v>
      </c>
      <c r="E270">
        <v>0.17548638132295719</v>
      </c>
      <c r="F270">
        <v>0.27419354838709681</v>
      </c>
      <c r="G270">
        <v>9.7560975609756101E-2</v>
      </c>
      <c r="H270">
        <v>0</v>
      </c>
      <c r="I270">
        <v>0</v>
      </c>
      <c r="J270">
        <v>1</v>
      </c>
      <c r="K270">
        <v>0.32472403912233361</v>
      </c>
      <c r="L270">
        <v>4.2337648200120809E-3</v>
      </c>
    </row>
    <row r="271" spans="1:12">
      <c r="A271">
        <v>0.30472103004291845</v>
      </c>
      <c r="B271">
        <v>0.125</v>
      </c>
      <c r="C271">
        <v>0.19340659340659341</v>
      </c>
      <c r="D271">
        <v>0.2565217391304348</v>
      </c>
      <c r="E271">
        <v>0.22023346303501945</v>
      </c>
      <c r="F271">
        <v>0.35080645161290319</v>
      </c>
      <c r="G271">
        <v>9.7560975609756101E-2</v>
      </c>
      <c r="H271">
        <v>1</v>
      </c>
      <c r="I271">
        <v>0</v>
      </c>
      <c r="J271">
        <v>0</v>
      </c>
      <c r="K271">
        <v>0.31454209464204513</v>
      </c>
      <c r="L271">
        <v>9.6453309860219358E-5</v>
      </c>
    </row>
    <row r="272" spans="1:12">
      <c r="A272">
        <v>0.31759656652360513</v>
      </c>
      <c r="B272">
        <v>0.125</v>
      </c>
      <c r="C272">
        <v>0.18241758241758241</v>
      </c>
      <c r="D272">
        <v>0.16956521739130434</v>
      </c>
      <c r="E272">
        <v>0.24163424124513619</v>
      </c>
      <c r="F272">
        <v>0.38709677419354843</v>
      </c>
      <c r="G272">
        <v>9.7560975609756101E-2</v>
      </c>
      <c r="H272">
        <v>1</v>
      </c>
      <c r="I272">
        <v>0</v>
      </c>
      <c r="J272">
        <v>0</v>
      </c>
      <c r="K272">
        <v>0.29859184179538018</v>
      </c>
      <c r="L272">
        <v>3.6117956199560505E-4</v>
      </c>
    </row>
    <row r="273" spans="1:12">
      <c r="A273">
        <v>0.31974248927038623</v>
      </c>
      <c r="B273">
        <v>0.125</v>
      </c>
      <c r="C273">
        <v>0.11208791208791209</v>
      </c>
      <c r="D273">
        <v>0.22173913043478261</v>
      </c>
      <c r="E273">
        <v>0.15408560311284047</v>
      </c>
      <c r="F273">
        <v>0.27822580645161293</v>
      </c>
      <c r="G273">
        <v>9.7560975609756101E-2</v>
      </c>
      <c r="H273">
        <v>0</v>
      </c>
      <c r="I273">
        <v>0</v>
      </c>
      <c r="J273">
        <v>1</v>
      </c>
      <c r="K273">
        <v>0.3241999448279167</v>
      </c>
      <c r="L273">
        <v>1.9868910047359231E-5</v>
      </c>
    </row>
    <row r="274" spans="1:12">
      <c r="A274">
        <v>0.24248927038626611</v>
      </c>
      <c r="B274">
        <v>0.25</v>
      </c>
      <c r="C274">
        <v>0.13846153846153847</v>
      </c>
      <c r="D274">
        <v>0.24782608695652175</v>
      </c>
      <c r="E274">
        <v>0.23677042801556419</v>
      </c>
      <c r="F274">
        <v>0.31854838709677419</v>
      </c>
      <c r="G274">
        <v>9.7560975609756101E-2</v>
      </c>
      <c r="H274">
        <v>0</v>
      </c>
      <c r="I274">
        <v>1</v>
      </c>
      <c r="J274">
        <v>0</v>
      </c>
      <c r="K274">
        <v>0.31812856517046856</v>
      </c>
      <c r="L274">
        <v>5.7213029154514761E-3</v>
      </c>
    </row>
    <row r="275" spans="1:12">
      <c r="A275">
        <v>0.17167381974248927</v>
      </c>
      <c r="B275">
        <v>0.375</v>
      </c>
      <c r="C275">
        <v>0.2087912087912088</v>
      </c>
      <c r="D275">
        <v>0.34347826086956523</v>
      </c>
      <c r="E275">
        <v>0.29708171206225681</v>
      </c>
      <c r="F275">
        <v>0.22580645161290319</v>
      </c>
      <c r="G275">
        <v>9.7560975609756101E-2</v>
      </c>
      <c r="H275">
        <v>0</v>
      </c>
      <c r="I275">
        <v>1</v>
      </c>
      <c r="J275">
        <v>0</v>
      </c>
      <c r="K275">
        <v>0.31484943173181551</v>
      </c>
      <c r="L275">
        <v>2.0499255868518099E-2</v>
      </c>
    </row>
    <row r="276" spans="1:12">
      <c r="A276">
        <v>0.27038626609442062</v>
      </c>
      <c r="B276">
        <v>0.125</v>
      </c>
      <c r="C276">
        <v>0.11648351648351649</v>
      </c>
      <c r="D276">
        <v>0.3</v>
      </c>
      <c r="E276">
        <v>0.22996108949416341</v>
      </c>
      <c r="F276">
        <v>0.31048387096774188</v>
      </c>
      <c r="G276">
        <v>9.7560975609756101E-2</v>
      </c>
      <c r="H276">
        <v>0</v>
      </c>
      <c r="I276">
        <v>1</v>
      </c>
      <c r="J276">
        <v>0</v>
      </c>
      <c r="K276">
        <v>0.31761519930635967</v>
      </c>
      <c r="L276">
        <v>2.2305721323377992E-3</v>
      </c>
    </row>
    <row r="277" spans="1:12">
      <c r="A277">
        <v>0.15450643776824033</v>
      </c>
      <c r="B277">
        <v>0.375</v>
      </c>
      <c r="C277">
        <v>0.2087912087912088</v>
      </c>
      <c r="D277">
        <v>0.37826086956521737</v>
      </c>
      <c r="E277">
        <v>0.34961089494163422</v>
      </c>
      <c r="F277">
        <v>0.31451612903225806</v>
      </c>
      <c r="G277">
        <v>9.7560975609756101E-2</v>
      </c>
      <c r="H277">
        <v>0</v>
      </c>
      <c r="I277">
        <v>1</v>
      </c>
      <c r="J277">
        <v>0</v>
      </c>
      <c r="K277">
        <v>0.31674422417753373</v>
      </c>
      <c r="L277">
        <v>2.6321099338987505E-2</v>
      </c>
    </row>
    <row r="278" spans="1:12">
      <c r="A278">
        <v>0.48283261802575106</v>
      </c>
      <c r="B278">
        <v>0.125</v>
      </c>
      <c r="C278">
        <v>4.6153846153846156E-2</v>
      </c>
      <c r="D278">
        <v>0.10869565217391304</v>
      </c>
      <c r="E278">
        <v>7.3346303501945528E-2</v>
      </c>
      <c r="F278">
        <v>0.27822580645161293</v>
      </c>
      <c r="G278">
        <v>9.7560975609756101E-2</v>
      </c>
      <c r="H278">
        <v>0</v>
      </c>
      <c r="I278">
        <v>1</v>
      </c>
      <c r="J278">
        <v>0</v>
      </c>
      <c r="K278">
        <v>0.31769724933060955</v>
      </c>
      <c r="L278">
        <v>2.7269689994080321E-2</v>
      </c>
    </row>
    <row r="279" spans="1:12">
      <c r="A279">
        <v>0.43991416309012876</v>
      </c>
      <c r="B279">
        <v>0.125</v>
      </c>
      <c r="C279">
        <v>6.5934065934065936E-2</v>
      </c>
      <c r="D279">
        <v>9.5652173913043481E-2</v>
      </c>
      <c r="E279">
        <v>0.10155642023346304</v>
      </c>
      <c r="F279">
        <v>0.34677419354838712</v>
      </c>
      <c r="G279">
        <v>9.7560975609756101E-2</v>
      </c>
      <c r="H279">
        <v>0</v>
      </c>
      <c r="I279">
        <v>0</v>
      </c>
      <c r="J279">
        <v>1</v>
      </c>
      <c r="K279">
        <v>0.32510381636343821</v>
      </c>
      <c r="L279">
        <v>1.3181415715502904E-2</v>
      </c>
    </row>
    <row r="280" spans="1:12">
      <c r="A280">
        <v>0.26824034334763946</v>
      </c>
      <c r="B280">
        <v>0.375</v>
      </c>
      <c r="C280">
        <v>0.35824175824175825</v>
      </c>
      <c r="D280">
        <v>0.3</v>
      </c>
      <c r="E280">
        <v>0.31750972762645913</v>
      </c>
      <c r="F280">
        <v>0.29838709677419356</v>
      </c>
      <c r="G280">
        <v>0.10975609756097561</v>
      </c>
      <c r="H280">
        <v>1</v>
      </c>
      <c r="I280">
        <v>0</v>
      </c>
      <c r="J280">
        <v>0</v>
      </c>
      <c r="K280">
        <v>0.25876699597285302</v>
      </c>
      <c r="L280">
        <v>8.9744310483373224E-5</v>
      </c>
    </row>
    <row r="281" spans="1:12">
      <c r="A281">
        <v>0.23175965665236054</v>
      </c>
      <c r="B281">
        <v>0.375</v>
      </c>
      <c r="C281">
        <v>0.29010989010989013</v>
      </c>
      <c r="D281">
        <v>0.16956521739130434</v>
      </c>
      <c r="E281">
        <v>0.26789883268482489</v>
      </c>
      <c r="F281">
        <v>0.41129032258064513</v>
      </c>
      <c r="G281">
        <v>0.10975609756097561</v>
      </c>
      <c r="H281">
        <v>1</v>
      </c>
      <c r="I281">
        <v>0</v>
      </c>
      <c r="J281">
        <v>0</v>
      </c>
      <c r="K281">
        <v>0.24549355561312358</v>
      </c>
      <c r="L281">
        <v>1.8861998066444831E-4</v>
      </c>
    </row>
    <row r="282" spans="1:12">
      <c r="A282">
        <v>0.28540772532188841</v>
      </c>
      <c r="B282">
        <v>0.125</v>
      </c>
      <c r="C282">
        <v>0.15824175824175823</v>
      </c>
      <c r="D282">
        <v>0.18260869565217391</v>
      </c>
      <c r="E282">
        <v>0.24844357976653697</v>
      </c>
      <c r="F282">
        <v>0.375</v>
      </c>
      <c r="G282">
        <v>0.10975609756097561</v>
      </c>
      <c r="H282">
        <v>1</v>
      </c>
      <c r="I282">
        <v>0</v>
      </c>
      <c r="J282">
        <v>0</v>
      </c>
      <c r="K282">
        <v>0.30201403775902891</v>
      </c>
      <c r="L282">
        <v>2.7576961275992731E-4</v>
      </c>
    </row>
    <row r="283" spans="1:12">
      <c r="A283">
        <v>0.24034334763948495</v>
      </c>
      <c r="B283">
        <v>0.375</v>
      </c>
      <c r="C283">
        <v>0.36043956043956044</v>
      </c>
      <c r="D283">
        <v>0.19130434782608696</v>
      </c>
      <c r="E283">
        <v>0.32140077821011676</v>
      </c>
      <c r="F283">
        <v>0.41129032258064513</v>
      </c>
      <c r="G283">
        <v>0.10975609756097561</v>
      </c>
      <c r="H283">
        <v>1</v>
      </c>
      <c r="I283">
        <v>0</v>
      </c>
      <c r="J283">
        <v>0</v>
      </c>
      <c r="K283">
        <v>0.24077504952893664</v>
      </c>
      <c r="L283">
        <v>1.863665213561553E-7</v>
      </c>
    </row>
    <row r="284" spans="1:12">
      <c r="A284">
        <v>0.24892703862660948</v>
      </c>
      <c r="B284">
        <v>0.375</v>
      </c>
      <c r="C284">
        <v>0.34505494505494505</v>
      </c>
      <c r="D284">
        <v>0.27826086956521739</v>
      </c>
      <c r="E284">
        <v>0.33988326848249029</v>
      </c>
      <c r="F284">
        <v>0.34677419354838712</v>
      </c>
      <c r="G284">
        <v>0.10975609756097561</v>
      </c>
      <c r="H284">
        <v>1</v>
      </c>
      <c r="I284">
        <v>0</v>
      </c>
      <c r="J284">
        <v>0</v>
      </c>
      <c r="K284">
        <v>0.25530686521227808</v>
      </c>
      <c r="L284">
        <v>4.070218726320389E-5</v>
      </c>
    </row>
    <row r="285" spans="1:12">
      <c r="A285">
        <v>0.17167381974248927</v>
      </c>
      <c r="B285">
        <v>0.625</v>
      </c>
      <c r="C285">
        <v>0.52087912087912092</v>
      </c>
      <c r="D285">
        <v>0.36521739130434783</v>
      </c>
      <c r="E285">
        <v>0.43326848249027239</v>
      </c>
      <c r="F285">
        <v>0.29838709677419356</v>
      </c>
      <c r="G285">
        <v>0.10975609756097561</v>
      </c>
      <c r="H285">
        <v>1</v>
      </c>
      <c r="I285">
        <v>0</v>
      </c>
      <c r="J285">
        <v>0</v>
      </c>
      <c r="K285">
        <v>0.2071932675675589</v>
      </c>
      <c r="L285">
        <v>1.261631173797844E-3</v>
      </c>
    </row>
    <row r="286" spans="1:12">
      <c r="A286">
        <v>0.184549356223176</v>
      </c>
      <c r="B286">
        <v>0.625</v>
      </c>
      <c r="C286">
        <v>0.51428571428571423</v>
      </c>
      <c r="D286">
        <v>0.36086956521739133</v>
      </c>
      <c r="E286">
        <v>0.41089494163424123</v>
      </c>
      <c r="F286">
        <v>0.21774193548387097</v>
      </c>
      <c r="G286">
        <v>0.10975609756097561</v>
      </c>
      <c r="H286">
        <v>1</v>
      </c>
      <c r="I286">
        <v>0</v>
      </c>
      <c r="J286">
        <v>0</v>
      </c>
      <c r="K286">
        <v>0.20644413362865524</v>
      </c>
      <c r="L286">
        <v>4.7938127763548413E-4</v>
      </c>
    </row>
    <row r="287" spans="1:12">
      <c r="A287">
        <v>0.1609442060085837</v>
      </c>
      <c r="B287">
        <v>0.625</v>
      </c>
      <c r="C287">
        <v>0.62197802197802199</v>
      </c>
      <c r="D287">
        <v>0.4</v>
      </c>
      <c r="E287">
        <v>0.45564202334630349</v>
      </c>
      <c r="F287">
        <v>0.20967741935483866</v>
      </c>
      <c r="G287">
        <v>0.10975609756097561</v>
      </c>
      <c r="H287">
        <v>1</v>
      </c>
      <c r="I287">
        <v>0</v>
      </c>
      <c r="J287">
        <v>0</v>
      </c>
      <c r="K287">
        <v>0.20262277896335112</v>
      </c>
      <c r="L287">
        <v>1.7371034435458709E-3</v>
      </c>
    </row>
    <row r="288" spans="1:12">
      <c r="A288">
        <v>0.19742489270386265</v>
      </c>
      <c r="B288">
        <v>0.625</v>
      </c>
      <c r="C288">
        <v>0.5494505494505495</v>
      </c>
      <c r="D288">
        <v>0.38695652173913042</v>
      </c>
      <c r="E288">
        <v>0.4313229571984436</v>
      </c>
      <c r="F288">
        <v>0.29032258064516125</v>
      </c>
      <c r="G288">
        <v>0.10975609756097561</v>
      </c>
      <c r="H288">
        <v>1</v>
      </c>
      <c r="I288">
        <v>0</v>
      </c>
      <c r="J288">
        <v>0</v>
      </c>
      <c r="K288">
        <v>0.2089788205203037</v>
      </c>
      <c r="L288">
        <v>1.3349324798753013E-4</v>
      </c>
    </row>
    <row r="289" spans="1:12">
      <c r="A289">
        <v>0.16952789699570811</v>
      </c>
      <c r="B289">
        <v>0.625</v>
      </c>
      <c r="C289">
        <v>0.6197802197802198</v>
      </c>
      <c r="D289">
        <v>0.47391304347826085</v>
      </c>
      <c r="E289">
        <v>0.53443579766536964</v>
      </c>
      <c r="F289">
        <v>0.27822580645161293</v>
      </c>
      <c r="G289">
        <v>0.10975609756097561</v>
      </c>
      <c r="H289">
        <v>1</v>
      </c>
      <c r="I289">
        <v>0</v>
      </c>
      <c r="J289">
        <v>0</v>
      </c>
      <c r="K289">
        <v>0.21277669935096039</v>
      </c>
      <c r="L289">
        <v>1.8704589051636747E-3</v>
      </c>
    </row>
    <row r="290" spans="1:12">
      <c r="A290">
        <v>0.13948497854077252</v>
      </c>
      <c r="B290">
        <v>0.625</v>
      </c>
      <c r="C290">
        <v>0.62197802197802199</v>
      </c>
      <c r="D290">
        <v>0.41739130434782606</v>
      </c>
      <c r="E290">
        <v>0.47490272373540854</v>
      </c>
      <c r="F290">
        <v>0.25403225806451613</v>
      </c>
      <c r="G290">
        <v>0.10975609756097561</v>
      </c>
      <c r="H290">
        <v>1</v>
      </c>
      <c r="I290">
        <v>0</v>
      </c>
      <c r="J290">
        <v>0</v>
      </c>
      <c r="K290">
        <v>0.20549316280112417</v>
      </c>
      <c r="L290">
        <v>4.3570803893485362E-3</v>
      </c>
    </row>
    <row r="291" spans="1:12">
      <c r="A291">
        <v>0.2188841201716738</v>
      </c>
      <c r="B291">
        <v>0.625</v>
      </c>
      <c r="C291">
        <v>0.43736263736263736</v>
      </c>
      <c r="D291">
        <v>0.34347826086956523</v>
      </c>
      <c r="E291">
        <v>0.38754863813229573</v>
      </c>
      <c r="F291">
        <v>0.282258064516129</v>
      </c>
      <c r="G291">
        <v>0.10975609756097561</v>
      </c>
      <c r="H291">
        <v>1</v>
      </c>
      <c r="I291">
        <v>0</v>
      </c>
      <c r="J291">
        <v>0</v>
      </c>
      <c r="K291">
        <v>0.21172373893376636</v>
      </c>
      <c r="L291">
        <v>5.1271059472176842E-5</v>
      </c>
    </row>
    <row r="292" spans="1:12">
      <c r="A292">
        <v>0.20386266094420599</v>
      </c>
      <c r="B292">
        <v>0.625</v>
      </c>
      <c r="C292">
        <v>0.64175824175824181</v>
      </c>
      <c r="D292">
        <v>0.45217391304347826</v>
      </c>
      <c r="E292">
        <v>0.45272373540856031</v>
      </c>
      <c r="F292">
        <v>0.20161290322580644</v>
      </c>
      <c r="G292">
        <v>0.10975609756097561</v>
      </c>
      <c r="H292">
        <v>1</v>
      </c>
      <c r="I292">
        <v>0</v>
      </c>
      <c r="J292">
        <v>0</v>
      </c>
      <c r="K292">
        <v>0.2107023495406094</v>
      </c>
      <c r="L292">
        <v>4.6781340095770839E-5</v>
      </c>
    </row>
    <row r="293" spans="1:12">
      <c r="A293">
        <v>0.49141630901287547</v>
      </c>
      <c r="B293">
        <v>0.125</v>
      </c>
      <c r="C293">
        <v>4.6153846153846156E-2</v>
      </c>
      <c r="D293">
        <v>0.10869565217391304</v>
      </c>
      <c r="E293">
        <v>6.0700389105058365E-2</v>
      </c>
      <c r="F293">
        <v>0.24193548387096772</v>
      </c>
      <c r="G293">
        <v>0.10975609756097561</v>
      </c>
      <c r="H293">
        <v>0</v>
      </c>
      <c r="I293">
        <v>1</v>
      </c>
      <c r="J293">
        <v>0</v>
      </c>
      <c r="K293">
        <v>0.31676924718085508</v>
      </c>
      <c r="L293">
        <v>3.0501596206557555E-2</v>
      </c>
    </row>
    <row r="294" spans="1:12">
      <c r="A294">
        <v>0.53862660944206009</v>
      </c>
      <c r="B294">
        <v>0.125</v>
      </c>
      <c r="C294">
        <v>3.9560439560439559E-2</v>
      </c>
      <c r="D294">
        <v>8.2608695652173908E-2</v>
      </c>
      <c r="E294">
        <v>7.0428015564202334E-2</v>
      </c>
      <c r="F294">
        <v>0.29032258064516125</v>
      </c>
      <c r="G294">
        <v>0.10975609756097561</v>
      </c>
      <c r="H294">
        <v>0</v>
      </c>
      <c r="I294">
        <v>0</v>
      </c>
      <c r="J294">
        <v>1</v>
      </c>
      <c r="K294">
        <v>0.32447627059733786</v>
      </c>
      <c r="L294">
        <v>4.5860367627309349E-2</v>
      </c>
    </row>
    <row r="295" spans="1:12">
      <c r="A295">
        <v>0.57296137339055797</v>
      </c>
      <c r="B295">
        <v>0.125</v>
      </c>
      <c r="C295">
        <v>6.5934065934065936E-2</v>
      </c>
      <c r="D295">
        <v>0.14782608695652175</v>
      </c>
      <c r="E295">
        <v>5.8754863813229571E-2</v>
      </c>
      <c r="F295">
        <v>0.25806451612903225</v>
      </c>
      <c r="G295">
        <v>0.10975609756097561</v>
      </c>
      <c r="H295">
        <v>1</v>
      </c>
      <c r="I295">
        <v>0</v>
      </c>
      <c r="J295">
        <v>0</v>
      </c>
      <c r="K295">
        <v>0.31230643950088272</v>
      </c>
      <c r="L295">
        <v>6.7940994561030976E-2</v>
      </c>
    </row>
    <row r="296" spans="1:12">
      <c r="A296">
        <v>0.39484978540772531</v>
      </c>
      <c r="B296">
        <v>0.125</v>
      </c>
      <c r="C296">
        <v>0.11648351648351649</v>
      </c>
      <c r="D296">
        <v>0.14782608695652175</v>
      </c>
      <c r="E296">
        <v>0.20564202334630349</v>
      </c>
      <c r="F296">
        <v>0.282258064516129</v>
      </c>
      <c r="G296">
        <v>0.10975609756097561</v>
      </c>
      <c r="H296">
        <v>1</v>
      </c>
      <c r="I296">
        <v>0</v>
      </c>
      <c r="J296">
        <v>0</v>
      </c>
      <c r="K296">
        <v>0.29951344363019161</v>
      </c>
      <c r="L296">
        <v>9.0890180635227174E-3</v>
      </c>
    </row>
    <row r="297" spans="1:12">
      <c r="A297">
        <v>0.35193133047210295</v>
      </c>
      <c r="B297">
        <v>0.25</v>
      </c>
      <c r="C297">
        <v>0.25274725274725274</v>
      </c>
      <c r="D297">
        <v>0.13478260869565217</v>
      </c>
      <c r="E297">
        <v>0.37295719844357977</v>
      </c>
      <c r="F297">
        <v>0.48790322580645168</v>
      </c>
      <c r="G297">
        <v>0.10975609756097561</v>
      </c>
      <c r="H297">
        <v>0</v>
      </c>
      <c r="I297">
        <v>1</v>
      </c>
      <c r="J297">
        <v>0</v>
      </c>
      <c r="K297">
        <v>0.3241058213010396</v>
      </c>
      <c r="L297">
        <v>7.7425896062893089E-4</v>
      </c>
    </row>
    <row r="298" spans="1:12">
      <c r="A298">
        <v>0.30042918454935619</v>
      </c>
      <c r="B298">
        <v>0.625</v>
      </c>
      <c r="C298">
        <v>0.6197802197802198</v>
      </c>
      <c r="D298">
        <v>0.34347826086956523</v>
      </c>
      <c r="E298">
        <v>0.44494163424124511</v>
      </c>
      <c r="F298">
        <v>0.37903225806451607</v>
      </c>
      <c r="G298">
        <v>0.10975609756097561</v>
      </c>
      <c r="H298">
        <v>1</v>
      </c>
      <c r="I298">
        <v>0</v>
      </c>
      <c r="J298">
        <v>0</v>
      </c>
      <c r="K298">
        <v>0.19732582843901492</v>
      </c>
      <c r="L298">
        <v>1.0630302041215846E-2</v>
      </c>
    </row>
    <row r="299" spans="1:12">
      <c r="A299">
        <v>0.39055793991416304</v>
      </c>
      <c r="B299">
        <v>0.125</v>
      </c>
      <c r="C299">
        <v>0.16043956043956045</v>
      </c>
      <c r="D299">
        <v>0.10869565217391304</v>
      </c>
      <c r="E299">
        <v>0.3068093385214008</v>
      </c>
      <c r="F299">
        <v>0.67741935483870974</v>
      </c>
      <c r="G299">
        <v>0.10975609756097561</v>
      </c>
      <c r="H299">
        <v>0</v>
      </c>
      <c r="I299">
        <v>1</v>
      </c>
      <c r="J299">
        <v>0</v>
      </c>
      <c r="K299">
        <v>0.32831002999770553</v>
      </c>
      <c r="L299">
        <v>3.8748022889674091E-3</v>
      </c>
    </row>
    <row r="300" spans="1:12">
      <c r="A300">
        <v>0.31974248927038623</v>
      </c>
      <c r="B300">
        <v>0.625</v>
      </c>
      <c r="C300">
        <v>0.42197802197802198</v>
      </c>
      <c r="D300">
        <v>0.19130434782608696</v>
      </c>
      <c r="E300">
        <v>0.35155642023346301</v>
      </c>
      <c r="F300">
        <v>0.57258064516129026</v>
      </c>
      <c r="G300">
        <v>0.10975609756097561</v>
      </c>
      <c r="H300">
        <v>1</v>
      </c>
      <c r="I300">
        <v>0</v>
      </c>
      <c r="J300">
        <v>0</v>
      </c>
      <c r="K300">
        <v>0.19444174367737932</v>
      </c>
      <c r="L300">
        <v>1.5700276846163441E-2</v>
      </c>
    </row>
    <row r="301" spans="1:12">
      <c r="A301">
        <v>0.54077253218884125</v>
      </c>
      <c r="B301">
        <v>0.125</v>
      </c>
      <c r="C301">
        <v>8.1318681318681321E-2</v>
      </c>
      <c r="D301">
        <v>0.10434782608695652</v>
      </c>
      <c r="E301">
        <v>0.11420233463035019</v>
      </c>
      <c r="F301">
        <v>0.20967741935483866</v>
      </c>
      <c r="G301">
        <v>0.10975609756097561</v>
      </c>
      <c r="H301">
        <v>1</v>
      </c>
      <c r="I301">
        <v>0</v>
      </c>
      <c r="J301">
        <v>0</v>
      </c>
      <c r="K301">
        <v>0.29876204535018025</v>
      </c>
      <c r="L301">
        <v>5.8569075739885706E-2</v>
      </c>
    </row>
    <row r="302" spans="1:12">
      <c r="A302">
        <v>0.5472103004291845</v>
      </c>
      <c r="B302">
        <v>0.125</v>
      </c>
      <c r="C302">
        <v>8.1318681318681321E-2</v>
      </c>
      <c r="D302">
        <v>0.10434782608695652</v>
      </c>
      <c r="E302">
        <v>0.10447470817120623</v>
      </c>
      <c r="F302">
        <v>0.27822580645161293</v>
      </c>
      <c r="G302">
        <v>0.10975609756097561</v>
      </c>
      <c r="H302">
        <v>1</v>
      </c>
      <c r="I302">
        <v>0</v>
      </c>
      <c r="J302">
        <v>0</v>
      </c>
      <c r="K302">
        <v>0.30120114562103889</v>
      </c>
      <c r="L302">
        <v>6.0520504249418156E-2</v>
      </c>
    </row>
    <row r="303" spans="1:12">
      <c r="A303">
        <v>0.48927038626609443</v>
      </c>
      <c r="B303">
        <v>0.125</v>
      </c>
      <c r="C303">
        <v>3.7362637362637362E-2</v>
      </c>
      <c r="D303">
        <v>8.2608695652173908E-2</v>
      </c>
      <c r="E303">
        <v>7.9182879377431903E-2</v>
      </c>
      <c r="F303">
        <v>0.45161290322580638</v>
      </c>
      <c r="G303">
        <v>0.10975609756097561</v>
      </c>
      <c r="H303">
        <v>0</v>
      </c>
      <c r="I303">
        <v>0</v>
      </c>
      <c r="J303">
        <v>1</v>
      </c>
      <c r="K303">
        <v>0.3260799332029326</v>
      </c>
      <c r="L303">
        <v>2.663112397096002E-2</v>
      </c>
    </row>
    <row r="304" spans="1:12">
      <c r="A304">
        <v>0.60729613733905574</v>
      </c>
      <c r="B304">
        <v>0.125</v>
      </c>
      <c r="C304">
        <v>5.054945054945055E-2</v>
      </c>
      <c r="D304">
        <v>0.1</v>
      </c>
      <c r="E304">
        <v>0.10058365758754864</v>
      </c>
      <c r="F304">
        <v>0.27016129032258063</v>
      </c>
      <c r="G304">
        <v>0.10975609756097561</v>
      </c>
      <c r="H304">
        <v>0</v>
      </c>
      <c r="I304">
        <v>1</v>
      </c>
      <c r="J304">
        <v>0</v>
      </c>
      <c r="K304">
        <v>0.31908244212768488</v>
      </c>
      <c r="L304">
        <v>8.306713410739297E-2</v>
      </c>
    </row>
    <row r="305" spans="1:12">
      <c r="A305">
        <v>0.41630901287553645</v>
      </c>
      <c r="B305">
        <v>0.125</v>
      </c>
      <c r="C305">
        <v>0.18241758241758241</v>
      </c>
      <c r="D305">
        <v>0.19130434782608696</v>
      </c>
      <c r="E305">
        <v>0.20564202334630349</v>
      </c>
      <c r="F305">
        <v>0.32258064516129031</v>
      </c>
      <c r="G305">
        <v>0.10975609756097561</v>
      </c>
      <c r="H305">
        <v>1</v>
      </c>
      <c r="I305">
        <v>0</v>
      </c>
      <c r="J305">
        <v>0</v>
      </c>
      <c r="K305">
        <v>0.30466721053512846</v>
      </c>
      <c r="L305">
        <v>1.2463892029814728E-2</v>
      </c>
    </row>
    <row r="306" spans="1:12">
      <c r="A306">
        <v>0.42489270386266093</v>
      </c>
      <c r="B306">
        <v>0.375</v>
      </c>
      <c r="C306">
        <v>0.23076923076923078</v>
      </c>
      <c r="D306">
        <v>0.3</v>
      </c>
      <c r="E306">
        <v>0.19105058365758754</v>
      </c>
      <c r="F306">
        <v>0.13306451612903228</v>
      </c>
      <c r="G306">
        <v>0.10975609756097561</v>
      </c>
      <c r="H306">
        <v>1</v>
      </c>
      <c r="I306">
        <v>0</v>
      </c>
      <c r="J306">
        <v>0</v>
      </c>
      <c r="K306">
        <v>0.27400377823426114</v>
      </c>
      <c r="L306">
        <v>2.2767467877292762E-2</v>
      </c>
    </row>
    <row r="307" spans="1:12">
      <c r="A307">
        <v>0.38197424892703863</v>
      </c>
      <c r="B307">
        <v>0.375</v>
      </c>
      <c r="C307">
        <v>0.23076923076923078</v>
      </c>
      <c r="D307">
        <v>0.3</v>
      </c>
      <c r="E307">
        <v>0.21147859922178988</v>
      </c>
      <c r="F307">
        <v>0.19758064516129034</v>
      </c>
      <c r="G307">
        <v>0.10975609756097561</v>
      </c>
      <c r="H307">
        <v>1</v>
      </c>
      <c r="I307">
        <v>0</v>
      </c>
      <c r="J307">
        <v>0</v>
      </c>
      <c r="K307">
        <v>0.27426438484826099</v>
      </c>
      <c r="L307">
        <v>1.1601414819868754E-2</v>
      </c>
    </row>
    <row r="308" spans="1:12">
      <c r="A308">
        <v>0.52575107296137336</v>
      </c>
      <c r="B308">
        <v>0.125</v>
      </c>
      <c r="C308">
        <v>0.18241758241758241</v>
      </c>
      <c r="D308">
        <v>0.19130434782608696</v>
      </c>
      <c r="E308">
        <v>0.18346303501945524</v>
      </c>
      <c r="F308">
        <v>0.20967741935483866</v>
      </c>
      <c r="G308">
        <v>0.10975609756097561</v>
      </c>
      <c r="H308">
        <v>1</v>
      </c>
      <c r="I308">
        <v>0</v>
      </c>
      <c r="J308">
        <v>0</v>
      </c>
      <c r="K308">
        <v>0.30383012961101191</v>
      </c>
      <c r="L308">
        <v>4.9248905097514332E-2</v>
      </c>
    </row>
    <row r="309" spans="1:12">
      <c r="A309">
        <v>0.69742489270386265</v>
      </c>
      <c r="B309">
        <v>0.125</v>
      </c>
      <c r="C309">
        <v>6.5934065934065936E-2</v>
      </c>
      <c r="D309">
        <v>0.13043478260869565</v>
      </c>
      <c r="E309">
        <v>0.10330739299610894</v>
      </c>
      <c r="F309">
        <v>0.27016129032258063</v>
      </c>
      <c r="G309">
        <v>0.12195121951219512</v>
      </c>
      <c r="H309">
        <v>0</v>
      </c>
      <c r="I309">
        <v>1</v>
      </c>
      <c r="J309">
        <v>0</v>
      </c>
      <c r="K309">
        <v>0.31902000259419805</v>
      </c>
      <c r="L309">
        <v>0.14319026085890735</v>
      </c>
    </row>
    <row r="310" spans="1:12">
      <c r="A310">
        <v>0.62446351931330468</v>
      </c>
      <c r="B310">
        <v>0.125</v>
      </c>
      <c r="C310">
        <v>4.6153846153846156E-2</v>
      </c>
      <c r="D310">
        <v>6.0869565217391307E-2</v>
      </c>
      <c r="E310">
        <v>6.9066147859922183E-2</v>
      </c>
      <c r="F310">
        <v>0.43548387096774194</v>
      </c>
      <c r="G310">
        <v>0.12195121951219512</v>
      </c>
      <c r="H310">
        <v>0</v>
      </c>
      <c r="I310">
        <v>0</v>
      </c>
      <c r="J310">
        <v>1</v>
      </c>
      <c r="K310">
        <v>0.32698648474218422</v>
      </c>
      <c r="L310">
        <v>8.8492586097227599E-2</v>
      </c>
    </row>
    <row r="311" spans="1:12">
      <c r="A311">
        <v>0.49570815450643779</v>
      </c>
      <c r="B311">
        <v>0.125</v>
      </c>
      <c r="C311">
        <v>6.5934065934065936E-2</v>
      </c>
      <c r="D311">
        <v>0.10434782608695652</v>
      </c>
      <c r="E311">
        <v>9.8638132295719841E-2</v>
      </c>
      <c r="F311">
        <v>0.30241935483870969</v>
      </c>
      <c r="G311">
        <v>0.12195121951219512</v>
      </c>
      <c r="H311">
        <v>1</v>
      </c>
      <c r="I311">
        <v>0</v>
      </c>
      <c r="J311">
        <v>0</v>
      </c>
      <c r="K311">
        <v>0.30461523529237422</v>
      </c>
      <c r="L311">
        <v>3.651650377375263E-2</v>
      </c>
    </row>
    <row r="312" spans="1:12">
      <c r="A312">
        <v>0.60515021459227469</v>
      </c>
      <c r="B312">
        <v>0.125</v>
      </c>
      <c r="C312">
        <v>3.9560439560439559E-2</v>
      </c>
      <c r="D312">
        <v>8.2608695652173908E-2</v>
      </c>
      <c r="E312">
        <v>7.8988326848249024E-2</v>
      </c>
      <c r="F312">
        <v>0.33870967741935476</v>
      </c>
      <c r="G312">
        <v>0.12195121951219512</v>
      </c>
      <c r="H312">
        <v>0</v>
      </c>
      <c r="I312">
        <v>0</v>
      </c>
      <c r="J312">
        <v>1</v>
      </c>
      <c r="K312">
        <v>0.32641057578721794</v>
      </c>
      <c r="L312">
        <v>7.7695786241173501E-2</v>
      </c>
    </row>
    <row r="313" spans="1:12">
      <c r="A313">
        <v>0.40772532188841198</v>
      </c>
      <c r="B313">
        <v>0.125</v>
      </c>
      <c r="C313">
        <v>0.18241758241758241</v>
      </c>
      <c r="D313">
        <v>0.19130434782608696</v>
      </c>
      <c r="E313">
        <v>0.20719844357976655</v>
      </c>
      <c r="F313">
        <v>0.34274193548387094</v>
      </c>
      <c r="G313">
        <v>0.12195121951219512</v>
      </c>
      <c r="H313">
        <v>1</v>
      </c>
      <c r="I313">
        <v>0</v>
      </c>
      <c r="J313">
        <v>0</v>
      </c>
      <c r="K313">
        <v>0.30623478338290738</v>
      </c>
      <c r="L313">
        <v>1.0300329406137312E-2</v>
      </c>
    </row>
    <row r="314" spans="1:12">
      <c r="A314">
        <v>0.3733905579399141</v>
      </c>
      <c r="B314">
        <v>0.125</v>
      </c>
      <c r="C314">
        <v>0.15824175824175823</v>
      </c>
      <c r="D314">
        <v>0.18260869565217391</v>
      </c>
      <c r="E314">
        <v>0.24455252918287937</v>
      </c>
      <c r="F314">
        <v>0.40725806451612906</v>
      </c>
      <c r="G314">
        <v>0.12195121951219512</v>
      </c>
      <c r="H314">
        <v>1</v>
      </c>
      <c r="I314">
        <v>0</v>
      </c>
      <c r="J314">
        <v>0</v>
      </c>
      <c r="K314">
        <v>0.30521880189368011</v>
      </c>
      <c r="L314">
        <v>4.6473883224272408E-3</v>
      </c>
    </row>
    <row r="315" spans="1:12">
      <c r="A315">
        <v>0.32832618025751076</v>
      </c>
      <c r="B315">
        <v>0.125</v>
      </c>
      <c r="C315">
        <v>0.18241758241758241</v>
      </c>
      <c r="D315">
        <v>0.19130434782608696</v>
      </c>
      <c r="E315">
        <v>0.27042801556420232</v>
      </c>
      <c r="F315">
        <v>0.48790322580645168</v>
      </c>
      <c r="G315">
        <v>0.12195121951219512</v>
      </c>
      <c r="H315">
        <v>1</v>
      </c>
      <c r="I315">
        <v>0</v>
      </c>
      <c r="J315">
        <v>0</v>
      </c>
      <c r="K315">
        <v>0.30438636177940709</v>
      </c>
      <c r="L315">
        <v>5.7311490876455384E-4</v>
      </c>
    </row>
    <row r="316" spans="1:12">
      <c r="A316">
        <v>0.21673819742489273</v>
      </c>
      <c r="B316">
        <v>0.375</v>
      </c>
      <c r="C316">
        <v>0.34505494505494505</v>
      </c>
      <c r="D316">
        <v>0.19130434782608696</v>
      </c>
      <c r="E316">
        <v>0.34396887159533074</v>
      </c>
      <c r="F316">
        <v>0.43145161290322576</v>
      </c>
      <c r="G316">
        <v>0.12195121951219512</v>
      </c>
      <c r="H316">
        <v>1</v>
      </c>
      <c r="I316">
        <v>0</v>
      </c>
      <c r="J316">
        <v>0</v>
      </c>
      <c r="K316">
        <v>0.24342289432046449</v>
      </c>
      <c r="L316">
        <v>7.1207304840853729E-4</v>
      </c>
    </row>
    <row r="317" spans="1:12">
      <c r="A317">
        <v>0.54291845493562219</v>
      </c>
      <c r="B317">
        <v>0.125</v>
      </c>
      <c r="C317">
        <v>6.3736263736263732E-2</v>
      </c>
      <c r="D317">
        <v>0.1391304347826087</v>
      </c>
      <c r="E317">
        <v>0.11186770428015565</v>
      </c>
      <c r="F317">
        <v>0.31451612903225806</v>
      </c>
      <c r="G317">
        <v>0.12195121951219512</v>
      </c>
      <c r="H317">
        <v>0</v>
      </c>
      <c r="I317">
        <v>1</v>
      </c>
      <c r="J317">
        <v>0</v>
      </c>
      <c r="K317">
        <v>0.32066969646036597</v>
      </c>
      <c r="L317">
        <v>4.9394510643792772E-2</v>
      </c>
    </row>
    <row r="318" spans="1:12">
      <c r="A318">
        <v>0.44635193133047213</v>
      </c>
      <c r="B318">
        <v>0.125</v>
      </c>
      <c r="C318">
        <v>0.14505494505494507</v>
      </c>
      <c r="D318">
        <v>0.19130434782608696</v>
      </c>
      <c r="E318">
        <v>0.21361867704280155</v>
      </c>
      <c r="F318">
        <v>0.30241935483870969</v>
      </c>
      <c r="G318">
        <v>0.12195121951219512</v>
      </c>
      <c r="H318">
        <v>0</v>
      </c>
      <c r="I318">
        <v>0</v>
      </c>
      <c r="J318">
        <v>1</v>
      </c>
      <c r="K318">
        <v>0.32680592193358515</v>
      </c>
      <c r="L318">
        <v>1.4291248362720589E-2</v>
      </c>
    </row>
    <row r="319" spans="1:12">
      <c r="A319">
        <v>0.47854077253218885</v>
      </c>
      <c r="B319">
        <v>0.125</v>
      </c>
      <c r="C319">
        <v>0.11428571428571428</v>
      </c>
      <c r="D319">
        <v>0.12608695652173912</v>
      </c>
      <c r="E319">
        <v>0.18073929961089494</v>
      </c>
      <c r="F319">
        <v>0.38306451612903225</v>
      </c>
      <c r="G319">
        <v>0.12195121951219512</v>
      </c>
      <c r="H319">
        <v>0</v>
      </c>
      <c r="I319">
        <v>0</v>
      </c>
      <c r="J319">
        <v>1</v>
      </c>
      <c r="K319">
        <v>0.32755245513751269</v>
      </c>
      <c r="L319">
        <v>2.279747198967547E-2</v>
      </c>
    </row>
    <row r="320" spans="1:12">
      <c r="A320">
        <v>0.60085836909871237</v>
      </c>
      <c r="B320">
        <v>0.125</v>
      </c>
      <c r="C320">
        <v>0.11208791208791209</v>
      </c>
      <c r="D320">
        <v>0.2</v>
      </c>
      <c r="E320">
        <v>0.15972762645914396</v>
      </c>
      <c r="F320">
        <v>0.282258064516129</v>
      </c>
      <c r="G320">
        <v>0.12195121951219512</v>
      </c>
      <c r="H320">
        <v>0</v>
      </c>
      <c r="I320">
        <v>0</v>
      </c>
      <c r="J320">
        <v>1</v>
      </c>
      <c r="K320">
        <v>0.32638559353648788</v>
      </c>
      <c r="L320">
        <v>7.5335304524831254E-2</v>
      </c>
    </row>
    <row r="321" spans="1:12">
      <c r="A321">
        <v>0.49785407725321895</v>
      </c>
      <c r="B321">
        <v>0.125</v>
      </c>
      <c r="C321">
        <v>8.7912087912087919E-2</v>
      </c>
      <c r="D321">
        <v>0.12608695652173912</v>
      </c>
      <c r="E321">
        <v>0.12684824902723735</v>
      </c>
      <c r="F321">
        <v>0.29032258064516125</v>
      </c>
      <c r="G321">
        <v>0.12195121951219512</v>
      </c>
      <c r="H321">
        <v>0</v>
      </c>
      <c r="I321">
        <v>0</v>
      </c>
      <c r="J321">
        <v>1</v>
      </c>
      <c r="K321">
        <v>0.32700894574936318</v>
      </c>
      <c r="L321">
        <v>2.9188058958569772E-2</v>
      </c>
    </row>
    <row r="322" spans="1:12">
      <c r="A322">
        <v>0.80686695278969955</v>
      </c>
      <c r="B322">
        <v>0.125</v>
      </c>
      <c r="C322">
        <v>3.9560439560439559E-2</v>
      </c>
      <c r="D322">
        <v>8.2608695652173908E-2</v>
      </c>
      <c r="E322">
        <v>9.6692607003891054E-2</v>
      </c>
      <c r="F322">
        <v>0.3991935483870967</v>
      </c>
      <c r="G322">
        <v>0.12195121951219512</v>
      </c>
      <c r="H322">
        <v>0</v>
      </c>
      <c r="I322">
        <v>0</v>
      </c>
      <c r="J322">
        <v>1</v>
      </c>
      <c r="K322">
        <v>0.32747011574863266</v>
      </c>
      <c r="L322">
        <v>0.22982132736497923</v>
      </c>
    </row>
    <row r="323" spans="1:12">
      <c r="A323">
        <v>0.40557939914163088</v>
      </c>
      <c r="B323">
        <v>0.125</v>
      </c>
      <c r="C323">
        <v>0.19340659340659341</v>
      </c>
      <c r="D323">
        <v>0.2565217391304348</v>
      </c>
      <c r="E323">
        <v>0.23093385214007783</v>
      </c>
      <c r="F323">
        <v>0.25806451612903225</v>
      </c>
      <c r="G323">
        <v>0.12195121951219512</v>
      </c>
      <c r="H323">
        <v>1</v>
      </c>
      <c r="I323">
        <v>0</v>
      </c>
      <c r="J323">
        <v>0</v>
      </c>
      <c r="K323">
        <v>0.31492295660718439</v>
      </c>
      <c r="L323">
        <v>8.2185905730013994E-3</v>
      </c>
    </row>
    <row r="324" spans="1:12">
      <c r="A324">
        <v>0.68240343347639476</v>
      </c>
      <c r="B324">
        <v>0.125</v>
      </c>
      <c r="C324">
        <v>3.7362637362637362E-2</v>
      </c>
      <c r="D324">
        <v>8.2608695652173908E-2</v>
      </c>
      <c r="E324">
        <v>9.6692607003891054E-2</v>
      </c>
      <c r="F324">
        <v>0.45161290322580638</v>
      </c>
      <c r="G324">
        <v>0.12195121951219512</v>
      </c>
      <c r="H324">
        <v>0</v>
      </c>
      <c r="I324">
        <v>0</v>
      </c>
      <c r="J324">
        <v>1</v>
      </c>
      <c r="K324">
        <v>0.32802510909611471</v>
      </c>
      <c r="L324">
        <v>0.125583996790575</v>
      </c>
    </row>
    <row r="325" spans="1:12">
      <c r="A325">
        <v>0.75751072961373378</v>
      </c>
      <c r="B325">
        <v>0.125</v>
      </c>
      <c r="C325">
        <v>4.8351648351648353E-2</v>
      </c>
      <c r="D325">
        <v>8.6956521739130436E-3</v>
      </c>
      <c r="E325">
        <v>9.1828793774319073E-2</v>
      </c>
      <c r="F325">
        <v>0.55241935483870963</v>
      </c>
      <c r="G325">
        <v>0.12195121951219512</v>
      </c>
      <c r="H325">
        <v>0</v>
      </c>
      <c r="I325">
        <v>1</v>
      </c>
      <c r="J325">
        <v>0</v>
      </c>
      <c r="K325">
        <v>0.32771105121478927</v>
      </c>
      <c r="L325">
        <v>0.18472776355183612</v>
      </c>
    </row>
    <row r="326" spans="1:12">
      <c r="A326">
        <v>0.73819742489270379</v>
      </c>
      <c r="B326">
        <v>0.125</v>
      </c>
      <c r="C326">
        <v>4.8351648351648353E-2</v>
      </c>
      <c r="D326">
        <v>8.6956521739130436E-3</v>
      </c>
      <c r="E326">
        <v>0.14046692607003891</v>
      </c>
      <c r="F326">
        <v>0.63306451612903225</v>
      </c>
      <c r="G326">
        <v>0.12195121951219512</v>
      </c>
      <c r="H326">
        <v>0</v>
      </c>
      <c r="I326">
        <v>1</v>
      </c>
      <c r="J326">
        <v>0</v>
      </c>
      <c r="K326">
        <v>0.33023215275176454</v>
      </c>
      <c r="L326">
        <v>0.16643566327303061</v>
      </c>
    </row>
    <row r="327" spans="1:12">
      <c r="A327">
        <v>0.58798283261802575</v>
      </c>
      <c r="B327">
        <v>0.25</v>
      </c>
      <c r="C327">
        <v>0.11648351648351649</v>
      </c>
      <c r="D327">
        <v>9.1304347826086957E-2</v>
      </c>
      <c r="E327">
        <v>0.26011673151750975</v>
      </c>
      <c r="F327">
        <v>0.47983870967741926</v>
      </c>
      <c r="G327">
        <v>0.12195121951219512</v>
      </c>
      <c r="H327">
        <v>0</v>
      </c>
      <c r="I327">
        <v>1</v>
      </c>
      <c r="J327">
        <v>0</v>
      </c>
      <c r="K327">
        <v>0.32744788004352743</v>
      </c>
      <c r="L327">
        <v>6.7878461512996091E-2</v>
      </c>
    </row>
    <row r="328" spans="1:12">
      <c r="A328">
        <v>0.45064377682403434</v>
      </c>
      <c r="B328">
        <v>0.125</v>
      </c>
      <c r="C328">
        <v>0.17142857142857143</v>
      </c>
      <c r="D328">
        <v>9.1304347826086957E-2</v>
      </c>
      <c r="E328">
        <v>0.31848249027237352</v>
      </c>
      <c r="F328">
        <v>0.55645161290322587</v>
      </c>
      <c r="G328">
        <v>0.12195121951219512</v>
      </c>
      <c r="H328">
        <v>0</v>
      </c>
      <c r="I328">
        <v>1</v>
      </c>
      <c r="J328">
        <v>0</v>
      </c>
      <c r="K328">
        <v>0.32979306096486966</v>
      </c>
      <c r="L328">
        <v>1.4604895523672558E-2</v>
      </c>
    </row>
    <row r="329" spans="1:12">
      <c r="A329">
        <v>0.76394849785407726</v>
      </c>
      <c r="B329">
        <v>0.125</v>
      </c>
      <c r="C329">
        <v>5.054945054945055E-2</v>
      </c>
      <c r="D329">
        <v>9.1304347826086957E-2</v>
      </c>
      <c r="E329">
        <v>4.6108949416342415E-2</v>
      </c>
      <c r="F329">
        <v>0.2338709677419355</v>
      </c>
      <c r="G329">
        <v>0.12195121951219512</v>
      </c>
      <c r="H329">
        <v>0</v>
      </c>
      <c r="I329">
        <v>0</v>
      </c>
      <c r="J329">
        <v>1</v>
      </c>
      <c r="K329">
        <v>0.32795125289846044</v>
      </c>
      <c r="L329">
        <v>0.19009359760888814</v>
      </c>
    </row>
    <row r="330" spans="1:12">
      <c r="A330">
        <v>0.53218884120171661</v>
      </c>
      <c r="B330">
        <v>0.125</v>
      </c>
      <c r="C330">
        <v>6.3736263736263732E-2</v>
      </c>
      <c r="D330">
        <v>9.1304347826086957E-2</v>
      </c>
      <c r="E330">
        <v>0.10350194552529182</v>
      </c>
      <c r="F330">
        <v>0.40322580645161288</v>
      </c>
      <c r="G330">
        <v>0.12195121951219512</v>
      </c>
      <c r="H330">
        <v>0</v>
      </c>
      <c r="I330">
        <v>0</v>
      </c>
      <c r="J330">
        <v>1</v>
      </c>
      <c r="K330">
        <v>0.32915017902410842</v>
      </c>
      <c r="L330">
        <v>4.1224698338872899E-2</v>
      </c>
    </row>
    <row r="331" spans="1:12">
      <c r="A331">
        <v>0.44635193133047213</v>
      </c>
      <c r="B331">
        <v>0.125</v>
      </c>
      <c r="C331">
        <v>4.6153846153846156E-2</v>
      </c>
      <c r="D331">
        <v>6.9565217391304349E-2</v>
      </c>
      <c r="E331">
        <v>4.5136186770428015E-2</v>
      </c>
      <c r="F331">
        <v>0.29435483870967744</v>
      </c>
      <c r="G331">
        <v>0.12195121951219512</v>
      </c>
      <c r="H331">
        <v>0</v>
      </c>
      <c r="I331">
        <v>1</v>
      </c>
      <c r="J331">
        <v>0</v>
      </c>
      <c r="K331">
        <v>0.32260365645004835</v>
      </c>
      <c r="L331">
        <v>1.5313635535880924E-2</v>
      </c>
    </row>
    <row r="332" spans="1:12">
      <c r="A332">
        <v>0.50858369098712453</v>
      </c>
      <c r="B332">
        <v>0.375</v>
      </c>
      <c r="C332">
        <v>0.21978021978021978</v>
      </c>
      <c r="D332">
        <v>0.37391304347826088</v>
      </c>
      <c r="E332">
        <v>0.25233463035019454</v>
      </c>
      <c r="F332">
        <v>0.1370967741935484</v>
      </c>
      <c r="G332">
        <v>0.12195121951219512</v>
      </c>
      <c r="H332">
        <v>0</v>
      </c>
      <c r="I332">
        <v>0</v>
      </c>
      <c r="J332">
        <v>1</v>
      </c>
      <c r="K332">
        <v>0.32605876424301955</v>
      </c>
      <c r="L332">
        <v>3.3315348882940889E-2</v>
      </c>
    </row>
    <row r="333" spans="1:12">
      <c r="A333">
        <v>0.31545064377682402</v>
      </c>
      <c r="B333">
        <v>0</v>
      </c>
      <c r="C333">
        <v>4.3956043956043956E-3</v>
      </c>
      <c r="D333">
        <v>0.23478260869565218</v>
      </c>
      <c r="E333">
        <v>0.15700389105058365</v>
      </c>
      <c r="F333">
        <v>0.18145161290322581</v>
      </c>
      <c r="G333">
        <v>0.12195121951219512</v>
      </c>
      <c r="H333">
        <v>0</v>
      </c>
      <c r="I333">
        <v>0</v>
      </c>
      <c r="J333">
        <v>1</v>
      </c>
      <c r="K333">
        <v>0.32661836551757423</v>
      </c>
      <c r="L333">
        <v>1.2471800887882474E-4</v>
      </c>
    </row>
    <row r="334" spans="1:12">
      <c r="A334">
        <v>0.55793991416309008</v>
      </c>
      <c r="B334">
        <v>0.125</v>
      </c>
      <c r="C334">
        <v>0.11868131868131868</v>
      </c>
      <c r="D334">
        <v>0.18260869565217391</v>
      </c>
      <c r="E334">
        <v>0.17256809338521401</v>
      </c>
      <c r="F334">
        <v>0.28629032258064513</v>
      </c>
      <c r="G334">
        <v>0.12195121951219512</v>
      </c>
      <c r="H334">
        <v>0</v>
      </c>
      <c r="I334">
        <v>1</v>
      </c>
      <c r="J334">
        <v>0</v>
      </c>
      <c r="K334">
        <v>0.32244777585417744</v>
      </c>
      <c r="L334">
        <v>5.545654720530404E-2</v>
      </c>
    </row>
    <row r="335" spans="1:12">
      <c r="A335">
        <v>0.50214592274678105</v>
      </c>
      <c r="B335">
        <v>0.125</v>
      </c>
      <c r="C335">
        <v>8.5714285714285715E-2</v>
      </c>
      <c r="D335">
        <v>0.11304347826086956</v>
      </c>
      <c r="E335">
        <v>0.13171206225680934</v>
      </c>
      <c r="F335">
        <v>0.36290322580645162</v>
      </c>
      <c r="G335">
        <v>0.12195121951219512</v>
      </c>
      <c r="H335">
        <v>0</v>
      </c>
      <c r="I335">
        <v>0</v>
      </c>
      <c r="J335">
        <v>1</v>
      </c>
      <c r="K335">
        <v>0.32941540800173336</v>
      </c>
      <c r="L335">
        <v>2.9835830724089137E-2</v>
      </c>
    </row>
    <row r="336" spans="1:12">
      <c r="A336">
        <v>0.39055793991416304</v>
      </c>
      <c r="B336">
        <v>0.125</v>
      </c>
      <c r="C336">
        <v>0.14725274725274726</v>
      </c>
      <c r="D336">
        <v>0.16521739130434782</v>
      </c>
      <c r="E336">
        <v>0.17062256809338522</v>
      </c>
      <c r="F336">
        <v>0.31048387096774188</v>
      </c>
      <c r="G336">
        <v>0.13414634146341464</v>
      </c>
      <c r="H336">
        <v>1</v>
      </c>
      <c r="I336">
        <v>0</v>
      </c>
      <c r="J336">
        <v>0</v>
      </c>
      <c r="K336">
        <v>0.30829449180251206</v>
      </c>
      <c r="L336">
        <v>6.7672748952182938E-3</v>
      </c>
    </row>
    <row r="337" spans="1:12">
      <c r="A337">
        <v>0.37768240343347642</v>
      </c>
      <c r="B337">
        <v>0.125</v>
      </c>
      <c r="C337">
        <v>0.18241758241758241</v>
      </c>
      <c r="D337">
        <v>0.16521739130434782</v>
      </c>
      <c r="E337">
        <v>0.19883268482490271</v>
      </c>
      <c r="F337">
        <v>0.33870967741935476</v>
      </c>
      <c r="G337">
        <v>0.13414634146341464</v>
      </c>
      <c r="H337">
        <v>1</v>
      </c>
      <c r="I337">
        <v>0</v>
      </c>
      <c r="J337">
        <v>0</v>
      </c>
      <c r="K337">
        <v>0.30454351538738633</v>
      </c>
      <c r="L337">
        <v>5.3492969446184997E-3</v>
      </c>
    </row>
    <row r="338" spans="1:12">
      <c r="A338">
        <v>0.36051502145922748</v>
      </c>
      <c r="B338">
        <v>0.125</v>
      </c>
      <c r="C338">
        <v>0.19340659340659341</v>
      </c>
      <c r="D338">
        <v>0.2</v>
      </c>
      <c r="E338">
        <v>0.19591439688715953</v>
      </c>
      <c r="F338">
        <v>0.25806451612903225</v>
      </c>
      <c r="G338">
        <v>0.13414634146341464</v>
      </c>
      <c r="H338">
        <v>1</v>
      </c>
      <c r="I338">
        <v>0</v>
      </c>
      <c r="J338">
        <v>0</v>
      </c>
      <c r="K338">
        <v>0.30864400310807</v>
      </c>
      <c r="L338">
        <v>2.6906025447861162E-3</v>
      </c>
    </row>
    <row r="339" spans="1:12">
      <c r="A339">
        <v>0.31115879828326182</v>
      </c>
      <c r="B339">
        <v>0.375</v>
      </c>
      <c r="C339">
        <v>0.23076923076923078</v>
      </c>
      <c r="D339">
        <v>0.27826086956521739</v>
      </c>
      <c r="E339">
        <v>0.21634241245136188</v>
      </c>
      <c r="F339">
        <v>0.18548387096774191</v>
      </c>
      <c r="G339">
        <v>0.13414634146341464</v>
      </c>
      <c r="H339">
        <v>1</v>
      </c>
      <c r="I339">
        <v>0</v>
      </c>
      <c r="J339">
        <v>0</v>
      </c>
      <c r="K339">
        <v>0.2735571360754257</v>
      </c>
      <c r="L339">
        <v>1.4138850007922108E-3</v>
      </c>
    </row>
    <row r="340" spans="1:12">
      <c r="A340">
        <v>0.45064377682403434</v>
      </c>
      <c r="B340">
        <v>0.125</v>
      </c>
      <c r="C340">
        <v>0.14725274725274726</v>
      </c>
      <c r="D340">
        <v>0.16521739130434782</v>
      </c>
      <c r="E340">
        <v>0.15019455252918287</v>
      </c>
      <c r="F340">
        <v>0.19758064516129034</v>
      </c>
      <c r="G340">
        <v>0.13414634146341464</v>
      </c>
      <c r="H340">
        <v>1</v>
      </c>
      <c r="I340">
        <v>0</v>
      </c>
      <c r="J340">
        <v>0</v>
      </c>
      <c r="K340">
        <v>0.30729581838367348</v>
      </c>
      <c r="L340">
        <v>2.0548637189019423E-2</v>
      </c>
    </row>
    <row r="341" spans="1:12">
      <c r="A341">
        <v>0.64592274678111594</v>
      </c>
      <c r="B341">
        <v>0.125</v>
      </c>
      <c r="C341">
        <v>2.4175824175824177E-2</v>
      </c>
      <c r="D341">
        <v>5.2173913043478258E-2</v>
      </c>
      <c r="E341">
        <v>2.7626459143968871E-2</v>
      </c>
      <c r="F341">
        <v>0.35887096774193544</v>
      </c>
      <c r="G341">
        <v>0.13414634146341464</v>
      </c>
      <c r="H341">
        <v>0</v>
      </c>
      <c r="I341">
        <v>0</v>
      </c>
      <c r="J341">
        <v>1</v>
      </c>
      <c r="K341">
        <v>0.32945292357422806</v>
      </c>
      <c r="L341">
        <v>0.10015314900059887</v>
      </c>
    </row>
    <row r="342" spans="1:12">
      <c r="A342">
        <v>0.64377682403433478</v>
      </c>
      <c r="B342">
        <v>0.125</v>
      </c>
      <c r="C342">
        <v>3.9560439560439559E-2</v>
      </c>
      <c r="D342">
        <v>7.8260869565217397E-2</v>
      </c>
      <c r="E342">
        <v>5.0972762645914396E-2</v>
      </c>
      <c r="F342">
        <v>0.33870967741935476</v>
      </c>
      <c r="G342">
        <v>0.13414634146341464</v>
      </c>
      <c r="H342">
        <v>1</v>
      </c>
      <c r="I342">
        <v>0</v>
      </c>
      <c r="J342">
        <v>0</v>
      </c>
      <c r="K342">
        <v>0.30910539358009137</v>
      </c>
      <c r="L342">
        <v>0.11200496636228949</v>
      </c>
    </row>
    <row r="343" spans="1:12">
      <c r="A343">
        <v>0.56008583690987124</v>
      </c>
      <c r="B343">
        <v>0.125</v>
      </c>
      <c r="C343">
        <v>2.8571428571428571E-2</v>
      </c>
      <c r="D343">
        <v>6.0869565217391307E-2</v>
      </c>
      <c r="E343">
        <v>2.8599221789883267E-2</v>
      </c>
      <c r="F343">
        <v>0.32661290322580649</v>
      </c>
      <c r="G343">
        <v>0.13414634146341464</v>
      </c>
      <c r="H343">
        <v>0</v>
      </c>
      <c r="I343">
        <v>0</v>
      </c>
      <c r="J343">
        <v>1</v>
      </c>
      <c r="K343">
        <v>0.32962427573339192</v>
      </c>
      <c r="L343">
        <v>5.311253117990012E-2</v>
      </c>
    </row>
    <row r="344" spans="1:12">
      <c r="A344">
        <v>0.49999999999999994</v>
      </c>
      <c r="B344">
        <v>0.125</v>
      </c>
      <c r="C344">
        <v>6.3736263736263732E-2</v>
      </c>
      <c r="D344">
        <v>9.1304347826086957E-2</v>
      </c>
      <c r="E344">
        <v>8.7937743190661485E-2</v>
      </c>
      <c r="F344">
        <v>0.39516129032258068</v>
      </c>
      <c r="G344">
        <v>0.13414634146341464</v>
      </c>
      <c r="H344">
        <v>0</v>
      </c>
      <c r="I344">
        <v>0</v>
      </c>
      <c r="J344">
        <v>1</v>
      </c>
      <c r="K344">
        <v>0.33019334160709712</v>
      </c>
      <c r="L344">
        <v>2.8834301234563993E-2</v>
      </c>
    </row>
    <row r="345" spans="1:12">
      <c r="A345">
        <v>0.60085836909871237</v>
      </c>
      <c r="B345">
        <v>0.125</v>
      </c>
      <c r="C345">
        <v>3.7362637362637362E-2</v>
      </c>
      <c r="D345">
        <v>8.2608695652173908E-2</v>
      </c>
      <c r="E345">
        <v>7.0428015564202334E-2</v>
      </c>
      <c r="F345">
        <v>0.45967741935483863</v>
      </c>
      <c r="G345">
        <v>0.13414634146341464</v>
      </c>
      <c r="H345">
        <v>0</v>
      </c>
      <c r="I345">
        <v>0</v>
      </c>
      <c r="J345">
        <v>1</v>
      </c>
      <c r="K345">
        <v>0.33034632858245394</v>
      </c>
      <c r="L345">
        <v>7.3176764064269845E-2</v>
      </c>
    </row>
    <row r="346" spans="1:12">
      <c r="A346">
        <v>0.61587982832618027</v>
      </c>
      <c r="B346">
        <v>0.125</v>
      </c>
      <c r="C346">
        <v>4.6153846153846156E-2</v>
      </c>
      <c r="D346">
        <v>6.9565217391304349E-2</v>
      </c>
      <c r="E346">
        <v>8.5019455252918291E-2</v>
      </c>
      <c r="F346">
        <v>0.375</v>
      </c>
      <c r="G346">
        <v>0.13414634146341464</v>
      </c>
      <c r="H346">
        <v>0</v>
      </c>
      <c r="I346">
        <v>0</v>
      </c>
      <c r="J346">
        <v>1</v>
      </c>
      <c r="K346">
        <v>0.33029409574128432</v>
      </c>
      <c r="L346">
        <v>8.1559210656051692E-2</v>
      </c>
    </row>
    <row r="347" spans="1:12">
      <c r="A347">
        <v>0.53862660944206009</v>
      </c>
      <c r="B347">
        <v>0.125</v>
      </c>
      <c r="C347">
        <v>5.054945054945055E-2</v>
      </c>
      <c r="D347">
        <v>9.5652173913043481E-2</v>
      </c>
      <c r="E347">
        <v>7.2373540856031135E-2</v>
      </c>
      <c r="F347">
        <v>0.32258064516129031</v>
      </c>
      <c r="G347">
        <v>0.13414634146341464</v>
      </c>
      <c r="H347">
        <v>0</v>
      </c>
      <c r="I347">
        <v>0</v>
      </c>
      <c r="J347">
        <v>1</v>
      </c>
      <c r="K347">
        <v>0.33003408493061559</v>
      </c>
      <c r="L347">
        <v>4.3510841282057573E-2</v>
      </c>
    </row>
    <row r="348" spans="1:12">
      <c r="A348">
        <v>0.55150214592274682</v>
      </c>
      <c r="B348">
        <v>0.125</v>
      </c>
      <c r="C348">
        <v>8.1318681318681321E-2</v>
      </c>
      <c r="D348">
        <v>7.3913043478260873E-2</v>
      </c>
      <c r="E348">
        <v>0.11712062256809339</v>
      </c>
      <c r="F348">
        <v>0.27822580645161293</v>
      </c>
      <c r="G348">
        <v>0.13414634146341464</v>
      </c>
      <c r="H348">
        <v>1</v>
      </c>
      <c r="I348">
        <v>0</v>
      </c>
      <c r="J348">
        <v>0</v>
      </c>
      <c r="K348">
        <v>0.30029625663638876</v>
      </c>
      <c r="L348">
        <v>6.3104398812149978E-2</v>
      </c>
    </row>
    <row r="349" spans="1:12">
      <c r="A349">
        <v>0.54506437768240334</v>
      </c>
      <c r="B349">
        <v>0.125</v>
      </c>
      <c r="C349">
        <v>6.5934065934065936E-2</v>
      </c>
      <c r="D349">
        <v>8.2608695652173908E-2</v>
      </c>
      <c r="E349">
        <v>8.4046692607003898E-2</v>
      </c>
      <c r="F349">
        <v>0.33064516129032256</v>
      </c>
      <c r="G349">
        <v>0.13414634146341464</v>
      </c>
      <c r="H349">
        <v>1</v>
      </c>
      <c r="I349">
        <v>0</v>
      </c>
      <c r="J349">
        <v>0</v>
      </c>
      <c r="K349">
        <v>0.30664838237349357</v>
      </c>
      <c r="L349">
        <v>5.6842186819138087E-2</v>
      </c>
    </row>
    <row r="350" spans="1:12">
      <c r="A350">
        <v>0.44849785407725318</v>
      </c>
      <c r="B350">
        <v>0.125</v>
      </c>
      <c r="C350">
        <v>6.5934065934065936E-2</v>
      </c>
      <c r="D350">
        <v>8.2608695652173908E-2</v>
      </c>
      <c r="E350">
        <v>0.14922178988326848</v>
      </c>
      <c r="F350">
        <v>0.51209677419354838</v>
      </c>
      <c r="G350">
        <v>0.13414634146341464</v>
      </c>
      <c r="H350">
        <v>1</v>
      </c>
      <c r="I350">
        <v>0</v>
      </c>
      <c r="J350">
        <v>0</v>
      </c>
      <c r="K350">
        <v>0.30396820366879262</v>
      </c>
      <c r="L350">
        <v>2.0888819847191823E-2</v>
      </c>
    </row>
  </sheetData>
  <autoFilter ref="A1:J395"/>
  <phoneticPr fontId="1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43"/>
  <sheetViews>
    <sheetView tabSelected="1" workbookViewId="0">
      <selection activeCell="K2" sqref="K2"/>
    </sheetView>
  </sheetViews>
  <sheetFormatPr defaultRowHeight="17.399999999999999"/>
  <sheetData>
    <row r="1" spans="1:13">
      <c r="A1">
        <v>0.51502145922746778</v>
      </c>
      <c r="B1">
        <v>0.125</v>
      </c>
      <c r="C1">
        <v>8.1318681318681321E-2</v>
      </c>
      <c r="D1">
        <v>0.12173913043478261</v>
      </c>
      <c r="E1">
        <v>0.1122568093385214</v>
      </c>
      <c r="F1">
        <v>0.24999999999999997</v>
      </c>
      <c r="G1">
        <v>0.13414634146341464</v>
      </c>
      <c r="H1">
        <v>0</v>
      </c>
      <c r="I1">
        <v>1</v>
      </c>
      <c r="J1">
        <v>0</v>
      </c>
      <c r="K1">
        <v>0.32388636733430409</v>
      </c>
      <c r="L1">
        <v>3.653262335300813E-2</v>
      </c>
      <c r="M1">
        <f>AVERAGE(L1:L43)</f>
        <v>3.5792933748510607E-2</v>
      </c>
    </row>
    <row r="2" spans="1:13">
      <c r="A2">
        <v>0.53004291845493567</v>
      </c>
      <c r="B2">
        <v>0.125</v>
      </c>
      <c r="C2">
        <v>8.5714285714285715E-2</v>
      </c>
      <c r="D2">
        <v>0.12608695652173912</v>
      </c>
      <c r="E2">
        <v>0.11614785992217899</v>
      </c>
      <c r="F2">
        <v>0.25806451612903225</v>
      </c>
      <c r="G2">
        <v>0.13414634146341464</v>
      </c>
      <c r="H2">
        <v>0</v>
      </c>
      <c r="I2">
        <v>0</v>
      </c>
      <c r="J2">
        <v>1</v>
      </c>
      <c r="K2">
        <v>0.33030436321441464</v>
      </c>
      <c r="L2">
        <v>3.9895490449570671E-2</v>
      </c>
    </row>
    <row r="3" spans="1:13">
      <c r="A3">
        <v>0.50214592274678105</v>
      </c>
      <c r="B3">
        <v>0.125</v>
      </c>
      <c r="C3">
        <v>8.7912087912087919E-2</v>
      </c>
      <c r="D3">
        <v>0.12608695652173912</v>
      </c>
      <c r="E3">
        <v>0.14338521400778209</v>
      </c>
      <c r="F3">
        <v>0.35483870967741937</v>
      </c>
      <c r="G3">
        <v>0.13414634146341464</v>
      </c>
      <c r="H3">
        <v>0</v>
      </c>
      <c r="I3">
        <v>0</v>
      </c>
      <c r="J3">
        <v>1</v>
      </c>
      <c r="K3">
        <v>0.33075616535427721</v>
      </c>
      <c r="L3">
        <v>2.9374448939061323E-2</v>
      </c>
    </row>
    <row r="4" spans="1:13">
      <c r="A4">
        <v>0.51287553648068662</v>
      </c>
      <c r="B4">
        <v>0.125</v>
      </c>
      <c r="C4">
        <v>0.11208791208791209</v>
      </c>
      <c r="D4">
        <v>0.23478260869565218</v>
      </c>
      <c r="E4">
        <v>0.19494163424124514</v>
      </c>
      <c r="F4">
        <v>0.27419354838709681</v>
      </c>
      <c r="G4">
        <v>0.13414634146341464</v>
      </c>
      <c r="H4">
        <v>0</v>
      </c>
      <c r="I4">
        <v>0</v>
      </c>
      <c r="J4">
        <v>1</v>
      </c>
      <c r="K4">
        <v>0.32959604596178171</v>
      </c>
      <c r="L4">
        <v>3.3591371644869354E-2</v>
      </c>
    </row>
    <row r="5" spans="1:13">
      <c r="A5">
        <v>0.48497854077253222</v>
      </c>
      <c r="B5">
        <v>0.125</v>
      </c>
      <c r="C5">
        <v>0.11428571428571428</v>
      </c>
      <c r="D5">
        <v>0.12173913043478261</v>
      </c>
      <c r="E5">
        <v>0.19883268482490271</v>
      </c>
      <c r="F5">
        <v>0.41532258064516131</v>
      </c>
      <c r="G5">
        <v>0.13414634146341464</v>
      </c>
      <c r="H5">
        <v>0</v>
      </c>
      <c r="I5">
        <v>0</v>
      </c>
      <c r="J5">
        <v>1</v>
      </c>
      <c r="K5">
        <v>0.33135936025199886</v>
      </c>
      <c r="L5">
        <v>2.3598852623800216E-2</v>
      </c>
    </row>
    <row r="6" spans="1:13">
      <c r="A6">
        <v>0.40987124463519314</v>
      </c>
      <c r="B6">
        <v>0.125</v>
      </c>
      <c r="C6">
        <v>0.16043956043956045</v>
      </c>
      <c r="D6">
        <v>0.14782608695652175</v>
      </c>
      <c r="E6">
        <v>0.31459143968871595</v>
      </c>
      <c r="F6">
        <v>0.49999999999999994</v>
      </c>
      <c r="G6">
        <v>0.13414634146341464</v>
      </c>
      <c r="H6">
        <v>0</v>
      </c>
      <c r="I6">
        <v>1</v>
      </c>
      <c r="J6">
        <v>0</v>
      </c>
      <c r="K6">
        <v>0.33043173756600053</v>
      </c>
      <c r="L6">
        <v>6.310635283396304E-3</v>
      </c>
    </row>
    <row r="7" spans="1:13">
      <c r="A7">
        <v>0.46566523605150212</v>
      </c>
      <c r="B7">
        <v>0.375</v>
      </c>
      <c r="C7">
        <v>0.16923076923076924</v>
      </c>
      <c r="D7">
        <v>0.13043478260869565</v>
      </c>
      <c r="E7">
        <v>0.30097276264591438</v>
      </c>
      <c r="F7">
        <v>0.467741935483871</v>
      </c>
      <c r="G7">
        <v>0.13414634146341464</v>
      </c>
      <c r="H7">
        <v>0</v>
      </c>
      <c r="I7">
        <v>1</v>
      </c>
      <c r="J7">
        <v>0</v>
      </c>
      <c r="K7">
        <v>0.32897890921415485</v>
      </c>
      <c r="L7">
        <v>1.868315194428612E-2</v>
      </c>
    </row>
    <row r="8" spans="1:13">
      <c r="A8">
        <v>0.35193133047210295</v>
      </c>
      <c r="B8">
        <v>0.375</v>
      </c>
      <c r="C8">
        <v>0.21978021978021978</v>
      </c>
      <c r="D8">
        <v>0.30434782608695654</v>
      </c>
      <c r="E8">
        <v>0.25038910505836576</v>
      </c>
      <c r="F8">
        <v>0.18548387096774191</v>
      </c>
      <c r="G8">
        <v>0.13414634146341464</v>
      </c>
      <c r="H8">
        <v>0</v>
      </c>
      <c r="I8">
        <v>0</v>
      </c>
      <c r="J8">
        <v>1</v>
      </c>
      <c r="K8">
        <v>0.32876315792031635</v>
      </c>
      <c r="L8">
        <v>5.3676421938935815E-4</v>
      </c>
    </row>
    <row r="9" spans="1:13">
      <c r="A9">
        <v>0.3261802575107296</v>
      </c>
      <c r="B9">
        <v>0.375</v>
      </c>
      <c r="C9">
        <v>0.17142857142857143</v>
      </c>
      <c r="D9">
        <v>0.32173913043478258</v>
      </c>
      <c r="E9">
        <v>0.25622568093385212</v>
      </c>
      <c r="F9">
        <v>0.2338709677419355</v>
      </c>
      <c r="G9">
        <v>0.13414634146341464</v>
      </c>
      <c r="H9">
        <v>0</v>
      </c>
      <c r="I9">
        <v>0</v>
      </c>
      <c r="J9">
        <v>1</v>
      </c>
      <c r="K9">
        <v>0.32814350513739571</v>
      </c>
      <c r="L9">
        <v>3.8543412436101105E-6</v>
      </c>
    </row>
    <row r="10" spans="1:13">
      <c r="A10">
        <v>0.28755364806866951</v>
      </c>
      <c r="B10">
        <v>0.375</v>
      </c>
      <c r="C10">
        <v>0.35824175824175825</v>
      </c>
      <c r="D10">
        <v>0.27826086956521739</v>
      </c>
      <c r="E10">
        <v>0.35058365758754861</v>
      </c>
      <c r="F10">
        <v>0.31451612903225806</v>
      </c>
      <c r="G10">
        <v>0.13414634146341464</v>
      </c>
      <c r="H10">
        <v>1</v>
      </c>
      <c r="I10">
        <v>0</v>
      </c>
      <c r="J10">
        <v>0</v>
      </c>
      <c r="K10">
        <v>0.25990362417175666</v>
      </c>
      <c r="L10">
        <v>7.6452382149985146E-4</v>
      </c>
    </row>
    <row r="11" spans="1:13">
      <c r="A11">
        <v>0.37768240343347642</v>
      </c>
      <c r="B11">
        <v>0.625</v>
      </c>
      <c r="C11">
        <v>0.6197802197802198</v>
      </c>
      <c r="D11">
        <v>0.2565217391304348</v>
      </c>
      <c r="E11">
        <v>0.41089494163424123</v>
      </c>
      <c r="F11">
        <v>0.44354838709677419</v>
      </c>
      <c r="G11">
        <v>0.13414634146341464</v>
      </c>
      <c r="H11">
        <v>1</v>
      </c>
      <c r="I11">
        <v>0</v>
      </c>
      <c r="J11">
        <v>0</v>
      </c>
      <c r="K11">
        <v>0.19179674426273963</v>
      </c>
      <c r="L11">
        <v>3.4553478285339327E-2</v>
      </c>
    </row>
    <row r="12" spans="1:13">
      <c r="A12">
        <v>0.24034334763948495</v>
      </c>
      <c r="B12">
        <v>0.375</v>
      </c>
      <c r="C12">
        <v>0.29010989010989013</v>
      </c>
      <c r="D12">
        <v>0.18260869565217391</v>
      </c>
      <c r="E12">
        <v>0.28151750972762646</v>
      </c>
      <c r="F12">
        <v>0.3669354838709678</v>
      </c>
      <c r="G12">
        <v>0.13414634146341464</v>
      </c>
      <c r="H12">
        <v>1</v>
      </c>
      <c r="I12">
        <v>0</v>
      </c>
      <c r="J12">
        <v>0</v>
      </c>
      <c r="K12">
        <v>0.25286382675271535</v>
      </c>
      <c r="L12">
        <v>1.5676239722483865E-4</v>
      </c>
    </row>
    <row r="13" spans="1:13">
      <c r="A13">
        <v>0.184549356223176</v>
      </c>
      <c r="B13">
        <v>0.375</v>
      </c>
      <c r="C13">
        <v>0.34505494505494505</v>
      </c>
      <c r="D13">
        <v>0.16956521739130434</v>
      </c>
      <c r="E13">
        <v>0.3603112840466926</v>
      </c>
      <c r="F13">
        <v>0.34677419354838712</v>
      </c>
      <c r="G13">
        <v>0.13414634146341464</v>
      </c>
      <c r="H13">
        <v>1</v>
      </c>
      <c r="I13">
        <v>0</v>
      </c>
      <c r="J13">
        <v>0</v>
      </c>
      <c r="K13">
        <v>0.24066891257906911</v>
      </c>
      <c r="L13">
        <v>3.1494046055822625E-3</v>
      </c>
    </row>
    <row r="14" spans="1:13">
      <c r="A14">
        <v>0.40772532188841198</v>
      </c>
      <c r="B14">
        <v>0.125</v>
      </c>
      <c r="C14">
        <v>9.6703296703296707E-2</v>
      </c>
      <c r="D14">
        <v>0.18260869565217391</v>
      </c>
      <c r="E14">
        <v>0.19299610894941635</v>
      </c>
      <c r="F14">
        <v>0.467741935483871</v>
      </c>
      <c r="G14">
        <v>0.14634146341463414</v>
      </c>
      <c r="H14">
        <v>1</v>
      </c>
      <c r="I14">
        <v>0</v>
      </c>
      <c r="J14">
        <v>0</v>
      </c>
      <c r="K14">
        <v>0.31746806154263429</v>
      </c>
      <c r="L14">
        <v>8.1463730451254938E-3</v>
      </c>
    </row>
    <row r="15" spans="1:13">
      <c r="A15">
        <v>0.38626609442060084</v>
      </c>
      <c r="B15">
        <v>0.125</v>
      </c>
      <c r="C15">
        <v>9.6703296703296707E-2</v>
      </c>
      <c r="D15">
        <v>0.18260869565217391</v>
      </c>
      <c r="E15">
        <v>0.19980544747081713</v>
      </c>
      <c r="F15">
        <v>0.42741935483870974</v>
      </c>
      <c r="G15">
        <v>0.14634146341463414</v>
      </c>
      <c r="H15">
        <v>1</v>
      </c>
      <c r="I15">
        <v>0</v>
      </c>
      <c r="J15">
        <v>0</v>
      </c>
      <c r="K15">
        <v>0.3164793073303761</v>
      </c>
      <c r="L15">
        <v>4.8701956523763577E-3</v>
      </c>
    </row>
    <row r="16" spans="1:13">
      <c r="A16">
        <v>0.53648068669527893</v>
      </c>
      <c r="B16">
        <v>0.125</v>
      </c>
      <c r="C16">
        <v>9.6703296703296707E-2</v>
      </c>
      <c r="D16">
        <v>0.18260869565217391</v>
      </c>
      <c r="E16">
        <v>0.15214007782101166</v>
      </c>
      <c r="F16">
        <v>0.40322580645161288</v>
      </c>
      <c r="G16">
        <v>0.14634146341463414</v>
      </c>
      <c r="H16">
        <v>1</v>
      </c>
      <c r="I16">
        <v>0</v>
      </c>
      <c r="J16">
        <v>0</v>
      </c>
      <c r="K16">
        <v>0.32033302859734575</v>
      </c>
      <c r="L16">
        <v>4.6719810101221018E-2</v>
      </c>
    </row>
    <row r="17" spans="1:12">
      <c r="A17">
        <v>0.47210300429184548</v>
      </c>
      <c r="B17">
        <v>0.125</v>
      </c>
      <c r="C17">
        <v>9.6703296703296707E-2</v>
      </c>
      <c r="D17">
        <v>0.16956521739130434</v>
      </c>
      <c r="E17">
        <v>0.18715953307392996</v>
      </c>
      <c r="F17">
        <v>0.33064516129032256</v>
      </c>
      <c r="G17">
        <v>0.14634146341463414</v>
      </c>
      <c r="H17">
        <v>1</v>
      </c>
      <c r="I17">
        <v>0</v>
      </c>
      <c r="J17">
        <v>0</v>
      </c>
      <c r="K17">
        <v>0.31400483700357396</v>
      </c>
      <c r="L17">
        <v>2.4995030499910288E-2</v>
      </c>
    </row>
    <row r="18" spans="1:12">
      <c r="A18">
        <v>0.42918454935622319</v>
      </c>
      <c r="B18">
        <v>0.125</v>
      </c>
      <c r="C18">
        <v>0.14725274725274726</v>
      </c>
      <c r="D18">
        <v>0.16521739130434782</v>
      </c>
      <c r="E18">
        <v>0.177431906614786</v>
      </c>
      <c r="F18">
        <v>0.32258064516129031</v>
      </c>
      <c r="G18">
        <v>0.14634146341463414</v>
      </c>
      <c r="H18">
        <v>1</v>
      </c>
      <c r="I18">
        <v>0</v>
      </c>
      <c r="J18">
        <v>0</v>
      </c>
      <c r="K18">
        <v>0.31000576197535684</v>
      </c>
      <c r="L18">
        <v>1.4203583361573747E-2</v>
      </c>
    </row>
    <row r="19" spans="1:12">
      <c r="A19">
        <v>0.38626609442060084</v>
      </c>
      <c r="B19">
        <v>0.125</v>
      </c>
      <c r="C19">
        <v>0.18241758241758241</v>
      </c>
      <c r="D19">
        <v>0.19130434782608696</v>
      </c>
      <c r="E19">
        <v>0.21828793774319066</v>
      </c>
      <c r="F19">
        <v>0.40322580645161288</v>
      </c>
      <c r="G19">
        <v>0.14634146341463414</v>
      </c>
      <c r="H19">
        <v>1</v>
      </c>
      <c r="I19">
        <v>0</v>
      </c>
      <c r="J19">
        <v>0</v>
      </c>
      <c r="K19">
        <v>0.31138840826977232</v>
      </c>
      <c r="L19">
        <v>5.6066678833019768E-3</v>
      </c>
    </row>
    <row r="20" spans="1:12">
      <c r="A20">
        <v>0.32188841201716739</v>
      </c>
      <c r="B20">
        <v>0.125</v>
      </c>
      <c r="C20">
        <v>0.15824175824175823</v>
      </c>
      <c r="D20">
        <v>0.2</v>
      </c>
      <c r="E20">
        <v>0.24357976653696498</v>
      </c>
      <c r="F20">
        <v>0.33870967741935476</v>
      </c>
      <c r="G20">
        <v>0.14634146341463414</v>
      </c>
      <c r="H20">
        <v>1</v>
      </c>
      <c r="I20">
        <v>0</v>
      </c>
      <c r="J20">
        <v>0</v>
      </c>
      <c r="K20">
        <v>0.31158966199429095</v>
      </c>
      <c r="L20">
        <v>1.060642520336976E-4</v>
      </c>
    </row>
    <row r="21" spans="1:12">
      <c r="A21">
        <v>0.57939914163090123</v>
      </c>
      <c r="B21">
        <v>0.125</v>
      </c>
      <c r="C21">
        <v>8.1318681318681321E-2</v>
      </c>
      <c r="D21">
        <v>0.12173913043478261</v>
      </c>
      <c r="E21">
        <v>7.1400778210116728E-2</v>
      </c>
      <c r="F21">
        <v>0.29435483870967744</v>
      </c>
      <c r="G21">
        <v>0.14634146341463414</v>
      </c>
      <c r="H21">
        <v>0</v>
      </c>
      <c r="I21">
        <v>1</v>
      </c>
      <c r="J21">
        <v>0</v>
      </c>
      <c r="K21">
        <v>0.32392667506529066</v>
      </c>
      <c r="L21">
        <v>6.5266181173117013E-2</v>
      </c>
    </row>
    <row r="22" spans="1:12">
      <c r="A22">
        <v>0.60085836909871237</v>
      </c>
      <c r="B22">
        <v>0.125</v>
      </c>
      <c r="C22">
        <v>5.054945054945055E-2</v>
      </c>
      <c r="D22">
        <v>9.5652173913043481E-2</v>
      </c>
      <c r="E22">
        <v>8.015564202334631E-2</v>
      </c>
      <c r="F22">
        <v>0.41129032258064513</v>
      </c>
      <c r="G22">
        <v>0.14634146341463414</v>
      </c>
      <c r="H22">
        <v>0</v>
      </c>
      <c r="I22">
        <v>0</v>
      </c>
      <c r="J22">
        <v>1</v>
      </c>
      <c r="K22">
        <v>0.33076862874803542</v>
      </c>
      <c r="L22">
        <v>7.2948467842696096E-2</v>
      </c>
    </row>
    <row r="23" spans="1:12">
      <c r="A23">
        <v>0.47210300429184548</v>
      </c>
      <c r="B23">
        <v>0.125</v>
      </c>
      <c r="C23">
        <v>5.054945054945055E-2</v>
      </c>
      <c r="D23">
        <v>9.5652173913043481E-2</v>
      </c>
      <c r="E23">
        <v>6.9455252918287941E-2</v>
      </c>
      <c r="F23">
        <v>0.38709677419354843</v>
      </c>
      <c r="G23">
        <v>0.14634146341463414</v>
      </c>
      <c r="H23">
        <v>0</v>
      </c>
      <c r="I23">
        <v>0</v>
      </c>
      <c r="J23">
        <v>1</v>
      </c>
      <c r="K23">
        <v>0.33067081267460363</v>
      </c>
      <c r="L23">
        <v>2.0003064825656218E-2</v>
      </c>
    </row>
    <row r="24" spans="1:12">
      <c r="A24">
        <v>0.62231759656652363</v>
      </c>
      <c r="B24">
        <v>0.125</v>
      </c>
      <c r="C24">
        <v>8.1318681318681321E-2</v>
      </c>
      <c r="D24">
        <v>7.3913043478260873E-2</v>
      </c>
      <c r="E24">
        <v>9.9610894941634248E-2</v>
      </c>
      <c r="F24">
        <v>0.27016129032258063</v>
      </c>
      <c r="G24">
        <v>0.14634146341463414</v>
      </c>
      <c r="H24">
        <v>1</v>
      </c>
      <c r="I24">
        <v>0</v>
      </c>
      <c r="J24">
        <v>0</v>
      </c>
      <c r="K24">
        <v>0.3018320896899942</v>
      </c>
      <c r="L24">
        <v>0.10271096011790599</v>
      </c>
    </row>
    <row r="25" spans="1:12">
      <c r="A25">
        <v>0.57939914163090123</v>
      </c>
      <c r="B25">
        <v>0.125</v>
      </c>
      <c r="C25">
        <v>6.5934065934065936E-2</v>
      </c>
      <c r="D25">
        <v>0.10434782608695652</v>
      </c>
      <c r="E25">
        <v>9.9610894941634248E-2</v>
      </c>
      <c r="F25">
        <v>0.375</v>
      </c>
      <c r="G25">
        <v>0.14634146341463414</v>
      </c>
      <c r="H25">
        <v>1</v>
      </c>
      <c r="I25">
        <v>0</v>
      </c>
      <c r="J25">
        <v>0</v>
      </c>
      <c r="K25">
        <v>0.31099771759354689</v>
      </c>
      <c r="L25">
        <v>7.2039324425279688E-2</v>
      </c>
    </row>
    <row r="26" spans="1:12">
      <c r="A26">
        <v>0.57939914163090123</v>
      </c>
      <c r="B26">
        <v>0.125</v>
      </c>
      <c r="C26">
        <v>0.11428571428571428</v>
      </c>
      <c r="D26">
        <v>0.18260869565217391</v>
      </c>
      <c r="E26">
        <v>0.10642023346303502</v>
      </c>
      <c r="F26">
        <v>0.26209677419354838</v>
      </c>
      <c r="G26">
        <v>0.14634146341463414</v>
      </c>
      <c r="H26">
        <v>0</v>
      </c>
      <c r="I26">
        <v>0</v>
      </c>
      <c r="J26">
        <v>1</v>
      </c>
      <c r="K26">
        <v>0.33008282656512378</v>
      </c>
      <c r="L26">
        <v>6.2158624957978005E-2</v>
      </c>
    </row>
    <row r="27" spans="1:12">
      <c r="A27">
        <v>0.57939914163090123</v>
      </c>
      <c r="B27">
        <v>0.125</v>
      </c>
      <c r="C27">
        <v>8.5714285714285715E-2</v>
      </c>
      <c r="D27">
        <v>0.12608695652173912</v>
      </c>
      <c r="E27">
        <v>0.11517509727626458</v>
      </c>
      <c r="F27">
        <v>0.26209677419354838</v>
      </c>
      <c r="G27">
        <v>0.14634146341463414</v>
      </c>
      <c r="H27">
        <v>0</v>
      </c>
      <c r="I27">
        <v>0</v>
      </c>
      <c r="J27">
        <v>1</v>
      </c>
      <c r="K27">
        <v>0.33018797515115961</v>
      </c>
      <c r="L27">
        <v>6.2106205498193491E-2</v>
      </c>
    </row>
    <row r="28" spans="1:12">
      <c r="A28">
        <v>0.53648068669527893</v>
      </c>
      <c r="B28">
        <v>0.125</v>
      </c>
      <c r="C28">
        <v>8.7912087912087919E-2</v>
      </c>
      <c r="D28">
        <v>0.10434782608695652</v>
      </c>
      <c r="E28">
        <v>0.12295719844357976</v>
      </c>
      <c r="F28">
        <v>0.35887096774193544</v>
      </c>
      <c r="G28">
        <v>0.14634146341463414</v>
      </c>
      <c r="H28">
        <v>0</v>
      </c>
      <c r="I28">
        <v>0</v>
      </c>
      <c r="J28">
        <v>1</v>
      </c>
      <c r="K28">
        <v>0.33087871051254719</v>
      </c>
      <c r="L28">
        <v>4.2272172610244588E-2</v>
      </c>
    </row>
    <row r="29" spans="1:12">
      <c r="A29">
        <v>0.62231759656652363</v>
      </c>
      <c r="B29">
        <v>0.125</v>
      </c>
      <c r="C29">
        <v>5.054945054945055E-2</v>
      </c>
      <c r="D29">
        <v>9.1304347826086957E-2</v>
      </c>
      <c r="E29">
        <v>6.8482490272373547E-2</v>
      </c>
      <c r="F29">
        <v>0.282258064516129</v>
      </c>
      <c r="G29">
        <v>0.14634146341463414</v>
      </c>
      <c r="H29">
        <v>0</v>
      </c>
      <c r="I29">
        <v>0</v>
      </c>
      <c r="J29">
        <v>1</v>
      </c>
      <c r="K29">
        <v>0.33020135334108019</v>
      </c>
      <c r="L29">
        <v>8.5331899556146423E-2</v>
      </c>
    </row>
    <row r="30" spans="1:12">
      <c r="A30">
        <v>0.49356223175965663</v>
      </c>
      <c r="B30">
        <v>0.125</v>
      </c>
      <c r="C30">
        <v>5.054945054945055E-2</v>
      </c>
      <c r="D30">
        <v>9.1304347826086957E-2</v>
      </c>
      <c r="E30">
        <v>6.8482490272373547E-2</v>
      </c>
      <c r="F30">
        <v>0.31048387096774188</v>
      </c>
      <c r="G30">
        <v>0.14634146341463414</v>
      </c>
      <c r="H30">
        <v>0</v>
      </c>
      <c r="I30">
        <v>0</v>
      </c>
      <c r="J30">
        <v>1</v>
      </c>
      <c r="K30">
        <v>0.33033912333395804</v>
      </c>
      <c r="L30">
        <v>2.6641783124147358E-2</v>
      </c>
    </row>
    <row r="31" spans="1:12">
      <c r="A31">
        <v>0.62231759656652363</v>
      </c>
      <c r="B31">
        <v>0.125</v>
      </c>
      <c r="C31">
        <v>5.054945054945055E-2</v>
      </c>
      <c r="D31">
        <v>9.1304347826086957E-2</v>
      </c>
      <c r="E31">
        <v>7.4319066147859922E-2</v>
      </c>
      <c r="F31">
        <v>0.33064516129032256</v>
      </c>
      <c r="G31">
        <v>0.14634146341463414</v>
      </c>
      <c r="H31">
        <v>0</v>
      </c>
      <c r="I31">
        <v>0</v>
      </c>
      <c r="J31">
        <v>1</v>
      </c>
      <c r="K31">
        <v>0.33042647274887771</v>
      </c>
      <c r="L31">
        <v>8.5200428163528311E-2</v>
      </c>
    </row>
    <row r="32" spans="1:12">
      <c r="A32">
        <v>0.34334763948497854</v>
      </c>
      <c r="B32">
        <v>0.375</v>
      </c>
      <c r="C32">
        <v>0.24835164835164836</v>
      </c>
      <c r="D32">
        <v>0.27826086956521739</v>
      </c>
      <c r="E32">
        <v>0.25914396887159535</v>
      </c>
      <c r="F32">
        <v>0.33870967741935476</v>
      </c>
      <c r="G32">
        <v>0.14634146341463414</v>
      </c>
      <c r="H32">
        <v>1</v>
      </c>
      <c r="I32">
        <v>0</v>
      </c>
      <c r="J32">
        <v>0</v>
      </c>
      <c r="K32">
        <v>0.2746468772110231</v>
      </c>
      <c r="L32">
        <v>4.7197947370225387E-3</v>
      </c>
    </row>
    <row r="33" spans="1:12">
      <c r="A33">
        <v>0.62231759656652363</v>
      </c>
      <c r="B33">
        <v>0.375</v>
      </c>
      <c r="C33">
        <v>0.42637362637362636</v>
      </c>
      <c r="D33">
        <v>0.16956521739130434</v>
      </c>
      <c r="E33">
        <v>0.27276264591439686</v>
      </c>
      <c r="F33">
        <v>0.36290322580645162</v>
      </c>
      <c r="G33">
        <v>0.14634146341463414</v>
      </c>
      <c r="H33">
        <v>1</v>
      </c>
      <c r="I33">
        <v>0</v>
      </c>
      <c r="J33">
        <v>0</v>
      </c>
      <c r="K33">
        <v>0.24111058851801365</v>
      </c>
      <c r="L33">
        <v>0.14531878298529677</v>
      </c>
    </row>
    <row r="34" spans="1:12">
      <c r="A34">
        <v>0.36480686695278969</v>
      </c>
      <c r="B34">
        <v>0.125</v>
      </c>
      <c r="C34">
        <v>0.19340659340659341</v>
      </c>
      <c r="D34">
        <v>0.2</v>
      </c>
      <c r="E34">
        <v>0.18910505836575875</v>
      </c>
      <c r="F34">
        <v>0.26209677419354838</v>
      </c>
      <c r="G34">
        <v>0.14634146341463414</v>
      </c>
      <c r="H34">
        <v>1</v>
      </c>
      <c r="I34">
        <v>0</v>
      </c>
      <c r="J34">
        <v>0</v>
      </c>
      <c r="K34">
        <v>0.31098576083428581</v>
      </c>
      <c r="L34">
        <v>2.8967114638192557E-3</v>
      </c>
    </row>
    <row r="35" spans="1:12">
      <c r="A35">
        <v>0.27896995708154504</v>
      </c>
      <c r="B35">
        <v>0.375</v>
      </c>
      <c r="C35">
        <v>0.36043956043956044</v>
      </c>
      <c r="D35">
        <v>0.28695652173913044</v>
      </c>
      <c r="E35">
        <v>0.23774319066147859</v>
      </c>
      <c r="F35">
        <v>0.27016129032258063</v>
      </c>
      <c r="G35">
        <v>0.14634146341463414</v>
      </c>
      <c r="H35">
        <v>1</v>
      </c>
      <c r="I35">
        <v>0</v>
      </c>
      <c r="J35">
        <v>0</v>
      </c>
      <c r="K35">
        <v>0.26803776696296944</v>
      </c>
      <c r="L35">
        <v>1.1951278078868203E-4</v>
      </c>
    </row>
    <row r="36" spans="1:12">
      <c r="A36">
        <v>0.49356223175965663</v>
      </c>
      <c r="B36">
        <v>0.125</v>
      </c>
      <c r="C36">
        <v>0.16703296703296702</v>
      </c>
      <c r="D36">
        <v>0.21739130434782608</v>
      </c>
      <c r="E36">
        <v>0.2046692607003891</v>
      </c>
      <c r="F36">
        <v>0.23790322580645162</v>
      </c>
      <c r="G36">
        <v>0.14634146341463414</v>
      </c>
      <c r="H36">
        <v>0</v>
      </c>
      <c r="I36">
        <v>0</v>
      </c>
      <c r="J36">
        <v>1</v>
      </c>
      <c r="K36">
        <v>0.33020049507741733</v>
      </c>
      <c r="L36">
        <v>2.6687057011837288E-2</v>
      </c>
    </row>
    <row r="37" spans="1:12">
      <c r="A37">
        <v>0.57939914163090123</v>
      </c>
      <c r="B37">
        <v>0.125</v>
      </c>
      <c r="C37">
        <v>0.14725274725274726</v>
      </c>
      <c r="D37">
        <v>0.16521739130434782</v>
      </c>
      <c r="E37">
        <v>0.14727626459143969</v>
      </c>
      <c r="F37">
        <v>0.20161290322580644</v>
      </c>
      <c r="G37">
        <v>0.14634146341463414</v>
      </c>
      <c r="H37">
        <v>1</v>
      </c>
      <c r="I37">
        <v>0</v>
      </c>
      <c r="J37">
        <v>0</v>
      </c>
      <c r="K37">
        <v>0.30930109767969199</v>
      </c>
      <c r="L37">
        <v>7.2952953346269347E-2</v>
      </c>
    </row>
    <row r="38" spans="1:12">
      <c r="A38">
        <v>0.38626609442060084</v>
      </c>
      <c r="B38">
        <v>0.125</v>
      </c>
      <c r="C38">
        <v>0.18241758241758241</v>
      </c>
      <c r="D38">
        <v>0.19130434782608696</v>
      </c>
      <c r="E38">
        <v>0.26011673151750975</v>
      </c>
      <c r="F38">
        <v>0.375</v>
      </c>
      <c r="G38">
        <v>0.14634146341463414</v>
      </c>
      <c r="H38">
        <v>1</v>
      </c>
      <c r="I38">
        <v>0</v>
      </c>
      <c r="J38">
        <v>0</v>
      </c>
      <c r="K38">
        <v>0.30792187456299436</v>
      </c>
      <c r="L38">
        <v>6.1378167850969813E-3</v>
      </c>
    </row>
    <row r="39" spans="1:12">
      <c r="A39">
        <v>0.38626609442060084</v>
      </c>
      <c r="B39">
        <v>0.125</v>
      </c>
      <c r="C39">
        <v>0.15824175824175823</v>
      </c>
      <c r="D39">
        <v>0.17391304347826086</v>
      </c>
      <c r="E39">
        <v>0.22898832684824902</v>
      </c>
      <c r="F39">
        <v>0.30645161290322576</v>
      </c>
      <c r="G39">
        <v>0.14634146341463414</v>
      </c>
      <c r="H39">
        <v>1</v>
      </c>
      <c r="I39">
        <v>0</v>
      </c>
      <c r="J39">
        <v>0</v>
      </c>
      <c r="K39">
        <v>0.30698094959245081</v>
      </c>
      <c r="L39">
        <v>6.286134190420724E-3</v>
      </c>
    </row>
    <row r="40" spans="1:12">
      <c r="A40">
        <v>0.75107296137339052</v>
      </c>
      <c r="B40">
        <v>0.125</v>
      </c>
      <c r="C40">
        <v>6.3736263736263732E-2</v>
      </c>
      <c r="D40">
        <v>2.6086956521739129E-2</v>
      </c>
      <c r="E40">
        <v>0.10058365758754864</v>
      </c>
      <c r="F40">
        <v>0.66935483870967749</v>
      </c>
      <c r="G40">
        <v>0.14634146341463414</v>
      </c>
      <c r="H40">
        <v>0</v>
      </c>
      <c r="I40">
        <v>1</v>
      </c>
      <c r="J40">
        <v>0</v>
      </c>
      <c r="K40">
        <v>0.33248579927943184</v>
      </c>
      <c r="L40">
        <v>0.17521521226987405</v>
      </c>
    </row>
    <row r="41" spans="1:12">
      <c r="A41">
        <v>0.49356223175965663</v>
      </c>
      <c r="B41">
        <v>0.125</v>
      </c>
      <c r="C41">
        <v>0.14725274725274726</v>
      </c>
      <c r="D41">
        <v>0.16521739130434782</v>
      </c>
      <c r="E41">
        <v>0.13268482490272374</v>
      </c>
      <c r="F41">
        <v>0.14516129032258063</v>
      </c>
      <c r="G41">
        <v>0.14634146341463414</v>
      </c>
      <c r="H41">
        <v>1</v>
      </c>
      <c r="I41">
        <v>0</v>
      </c>
      <c r="J41">
        <v>0</v>
      </c>
      <c r="K41">
        <v>0.30900731326182435</v>
      </c>
      <c r="L41">
        <v>3.4060517941741517E-2</v>
      </c>
    </row>
    <row r="42" spans="1:12">
      <c r="A42">
        <v>0.40772532188841198</v>
      </c>
      <c r="B42">
        <v>0.125</v>
      </c>
      <c r="C42">
        <v>0.11428571428571428</v>
      </c>
      <c r="D42">
        <v>0.14347826086956522</v>
      </c>
      <c r="E42">
        <v>0.19688715953307392</v>
      </c>
      <c r="F42">
        <v>0.42741935483870974</v>
      </c>
      <c r="G42">
        <v>0.14634146341463414</v>
      </c>
      <c r="H42">
        <v>1</v>
      </c>
      <c r="I42">
        <v>0</v>
      </c>
      <c r="J42">
        <v>0</v>
      </c>
      <c r="K42">
        <v>0.30841290726993315</v>
      </c>
      <c r="L42">
        <v>9.8629556973526492E-3</v>
      </c>
    </row>
    <row r="43" spans="1:12">
      <c r="A43">
        <v>0.47210300429184548</v>
      </c>
      <c r="B43">
        <v>0.125</v>
      </c>
      <c r="C43">
        <v>0.11208791208791209</v>
      </c>
      <c r="D43">
        <v>0.15652173913043479</v>
      </c>
      <c r="E43">
        <v>0.21536964980544748</v>
      </c>
      <c r="F43">
        <v>0.45967741935483863</v>
      </c>
      <c r="G43">
        <v>0.14634146341463414</v>
      </c>
      <c r="H43">
        <v>1</v>
      </c>
      <c r="I43">
        <v>0</v>
      </c>
      <c r="J43">
        <v>0</v>
      </c>
      <c r="K43">
        <v>0.30974382537753481</v>
      </c>
      <c r="L43">
        <v>2.6360502977729145E-2</v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1"/>
  <sheetViews>
    <sheetView workbookViewId="0">
      <selection activeCell="E7" sqref="E7"/>
    </sheetView>
  </sheetViews>
  <sheetFormatPr defaultRowHeight="17.399999999999999"/>
  <sheetData>
    <row r="1" spans="1:2">
      <c r="A1" t="s">
        <v>0</v>
      </c>
      <c r="B1" s="1" t="s">
        <v>1</v>
      </c>
    </row>
  </sheetData>
  <phoneticPr fontId="1" type="noConversion"/>
  <hyperlinks>
    <hyperlink ref="B1" r:id="rId1"/>
  </hyperlinks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E9"/>
  <sheetViews>
    <sheetView workbookViewId="0">
      <selection activeCell="H7" sqref="H7"/>
    </sheetView>
  </sheetViews>
  <sheetFormatPr defaultRowHeight="17.399999999999999"/>
  <sheetData>
    <row r="1" spans="1:5">
      <c r="A1">
        <v>0.27119206546879226</v>
      </c>
      <c r="B1">
        <v>2.8602190488318566E-2</v>
      </c>
      <c r="C1">
        <v>8.6546395622758912E-2</v>
      </c>
      <c r="D1">
        <v>-0.2927556492352853</v>
      </c>
      <c r="E1">
        <v>-0.19805198907852173</v>
      </c>
    </row>
    <row r="2" spans="1:5">
      <c r="A2">
        <v>0.34284600321834557</v>
      </c>
      <c r="B2">
        <v>-0.48831696999991059</v>
      </c>
      <c r="C2">
        <v>0.27264476858903353</v>
      </c>
      <c r="D2">
        <v>0.22831739995649322</v>
      </c>
      <c r="E2">
        <v>0.2090378999710083</v>
      </c>
    </row>
    <row r="3" spans="1:5">
      <c r="A3">
        <v>-0.40049559675800306</v>
      </c>
      <c r="B3">
        <v>-9.0344962184761832E-2</v>
      </c>
      <c r="C3">
        <v>0.3674555472138169</v>
      </c>
      <c r="D3">
        <v>0.22281837281724784</v>
      </c>
      <c r="E3">
        <v>-0.12646383047103882</v>
      </c>
    </row>
    <row r="4" spans="1:5">
      <c r="A4">
        <v>0.51647990553347634</v>
      </c>
      <c r="B4">
        <v>0.36776640746702577</v>
      </c>
      <c r="C4">
        <v>-0.43813822321088836</v>
      </c>
      <c r="D4">
        <v>0.38116914114519262</v>
      </c>
      <c r="E4">
        <v>-0.13598132133483887</v>
      </c>
    </row>
    <row r="5" spans="1:5">
      <c r="A5">
        <v>4.1585360716928331E-2</v>
      </c>
      <c r="B5">
        <v>0.25369323968129942</v>
      </c>
      <c r="C5">
        <v>-0.46695280288045699</v>
      </c>
      <c r="D5">
        <v>7.6343174289076179E-2</v>
      </c>
      <c r="E5">
        <v>-3.1299889087677002E-2</v>
      </c>
    </row>
    <row r="6" spans="1:5">
      <c r="A6">
        <v>-0.200635589621636</v>
      </c>
      <c r="B6">
        <v>0.1193147110966752</v>
      </c>
      <c r="C6">
        <v>0.142522305299568</v>
      </c>
      <c r="D6">
        <v>-0.23628326668632657</v>
      </c>
      <c r="E6">
        <v>-0.22065794467926025</v>
      </c>
    </row>
    <row r="7" spans="1:5">
      <c r="A7">
        <v>0.41853026833602275</v>
      </c>
      <c r="B7">
        <v>0.32110317152034551</v>
      </c>
      <c r="C7">
        <v>0.1054384219772652</v>
      </c>
      <c r="D7">
        <v>0.38867526832497434</v>
      </c>
      <c r="E7">
        <v>0.41096431016921997</v>
      </c>
    </row>
    <row r="8" spans="1:5">
      <c r="A8">
        <v>-0.27313399314880371</v>
      </c>
      <c r="B8">
        <v>0.19470022467548781</v>
      </c>
      <c r="C8">
        <v>0.45062568261131858</v>
      </c>
      <c r="D8">
        <v>-0.2560686469078064</v>
      </c>
      <c r="E8">
        <v>3.3873081207275391E-2</v>
      </c>
    </row>
    <row r="9" spans="1:5">
      <c r="A9">
        <v>-0.39363032579421997</v>
      </c>
      <c r="B9">
        <v>0.46595277920441863</v>
      </c>
      <c r="C9">
        <v>0.14148468169466646</v>
      </c>
      <c r="D9">
        <v>-0.48429608345031738</v>
      </c>
      <c r="E9">
        <v>7.518380880355835E-2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1"/>
  <sheetViews>
    <sheetView workbookViewId="0"/>
  </sheetViews>
  <sheetFormatPr defaultRowHeight="17.399999999999999"/>
  <sheetData>
    <row r="1" spans="1:5">
      <c r="A1">
        <v>-0.31121911320618306</v>
      </c>
      <c r="B1">
        <v>-0.43435338651991418</v>
      </c>
      <c r="C1">
        <v>0.25109104263853388</v>
      </c>
      <c r="D1">
        <v>-0.31293762144171899</v>
      </c>
      <c r="E1">
        <v>-0.45435082912445068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5"/>
  <sheetViews>
    <sheetView workbookViewId="0"/>
  </sheetViews>
  <sheetFormatPr defaultRowHeight="17.399999999999999"/>
  <sheetData>
    <row r="1" spans="1:1">
      <c r="A1">
        <v>-0.35500501020367986</v>
      </c>
    </row>
    <row r="2" spans="1:1">
      <c r="A2">
        <v>-4.9907160132428401E-2</v>
      </c>
    </row>
    <row r="3" spans="1:1">
      <c r="A3">
        <v>-3.7567186795890481E-2</v>
      </c>
    </row>
    <row r="4" spans="1:1">
      <c r="A4">
        <v>0.26055956379669881</v>
      </c>
    </row>
    <row r="5" spans="1:1">
      <c r="A5">
        <v>0.47982937097549438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21" sqref="G21"/>
    </sheetView>
  </sheetViews>
  <sheetFormatPr defaultRowHeight="17.399999999999999"/>
  <sheetData>
    <row r="1" spans="1:1">
      <c r="A1">
        <v>0.34765274100400284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A398"/>
  <sheetViews>
    <sheetView workbookViewId="0"/>
  </sheetViews>
  <sheetFormatPr defaultRowHeight="17.399999999999999"/>
  <sheetData>
    <row r="1" spans="1:1">
      <c r="A1" t="s">
        <v>14</v>
      </c>
    </row>
    <row r="2" spans="1:1">
      <c r="A2" t="s">
        <v>15</v>
      </c>
    </row>
    <row r="3" spans="1:1">
      <c r="A3" t="s">
        <v>16</v>
      </c>
    </row>
    <row r="4" spans="1:1">
      <c r="A4" t="s">
        <v>17</v>
      </c>
    </row>
    <row r="5" spans="1:1">
      <c r="A5" t="s">
        <v>18</v>
      </c>
    </row>
    <row r="6" spans="1:1">
      <c r="A6" t="s">
        <v>19</v>
      </c>
    </row>
    <row r="7" spans="1:1">
      <c r="A7" t="s">
        <v>20</v>
      </c>
    </row>
    <row r="8" spans="1:1">
      <c r="A8" t="s">
        <v>21</v>
      </c>
    </row>
    <row r="9" spans="1:1">
      <c r="A9" t="s">
        <v>22</v>
      </c>
    </row>
    <row r="10" spans="1:1">
      <c r="A10" t="s">
        <v>23</v>
      </c>
    </row>
    <row r="11" spans="1:1">
      <c r="A11" t="s">
        <v>24</v>
      </c>
    </row>
    <row r="12" spans="1:1">
      <c r="A12" t="s">
        <v>25</v>
      </c>
    </row>
    <row r="13" spans="1:1">
      <c r="A13" t="s">
        <v>26</v>
      </c>
    </row>
    <row r="14" spans="1:1">
      <c r="A14" t="s">
        <v>27</v>
      </c>
    </row>
    <row r="15" spans="1:1">
      <c r="A15" t="s">
        <v>28</v>
      </c>
    </row>
    <row r="16" spans="1:1">
      <c r="A16" t="s">
        <v>29</v>
      </c>
    </row>
    <row r="17" spans="1:1">
      <c r="A17" t="s">
        <v>30</v>
      </c>
    </row>
    <row r="18" spans="1:1">
      <c r="A18" t="s">
        <v>31</v>
      </c>
    </row>
    <row r="19" spans="1:1">
      <c r="A19" t="s">
        <v>32</v>
      </c>
    </row>
    <row r="20" spans="1:1">
      <c r="A20" t="s">
        <v>33</v>
      </c>
    </row>
    <row r="21" spans="1:1">
      <c r="A21" t="s">
        <v>34</v>
      </c>
    </row>
    <row r="22" spans="1:1">
      <c r="A22" t="s">
        <v>35</v>
      </c>
    </row>
    <row r="23" spans="1:1">
      <c r="A23" t="s">
        <v>36</v>
      </c>
    </row>
    <row r="24" spans="1:1">
      <c r="A24" t="s">
        <v>37</v>
      </c>
    </row>
    <row r="25" spans="1:1">
      <c r="A25" t="s">
        <v>38</v>
      </c>
    </row>
    <row r="26" spans="1:1">
      <c r="A26" t="s">
        <v>39</v>
      </c>
    </row>
    <row r="27" spans="1:1">
      <c r="A27" t="s">
        <v>40</v>
      </c>
    </row>
    <row r="28" spans="1:1">
      <c r="A28" t="s">
        <v>41</v>
      </c>
    </row>
    <row r="29" spans="1:1">
      <c r="A29" t="s">
        <v>42</v>
      </c>
    </row>
    <row r="30" spans="1:1">
      <c r="A30" t="s">
        <v>43</v>
      </c>
    </row>
    <row r="31" spans="1:1">
      <c r="A31" t="s">
        <v>44</v>
      </c>
    </row>
    <row r="32" spans="1:1">
      <c r="A32" t="s">
        <v>45</v>
      </c>
    </row>
    <row r="33" spans="1:1">
      <c r="A33" t="s">
        <v>46</v>
      </c>
    </row>
    <row r="34" spans="1:1">
      <c r="A34" t="s">
        <v>47</v>
      </c>
    </row>
    <row r="35" spans="1:1">
      <c r="A35" t="s">
        <v>48</v>
      </c>
    </row>
    <row r="36" spans="1:1">
      <c r="A36" t="s">
        <v>49</v>
      </c>
    </row>
    <row r="37" spans="1:1">
      <c r="A37" t="s">
        <v>50</v>
      </c>
    </row>
    <row r="38" spans="1:1">
      <c r="A38" t="s">
        <v>51</v>
      </c>
    </row>
    <row r="39" spans="1:1">
      <c r="A39" t="s">
        <v>52</v>
      </c>
    </row>
    <row r="40" spans="1:1">
      <c r="A40" t="s">
        <v>53</v>
      </c>
    </row>
    <row r="41" spans="1:1">
      <c r="A41" t="s">
        <v>54</v>
      </c>
    </row>
    <row r="42" spans="1:1">
      <c r="A42" t="s">
        <v>55</v>
      </c>
    </row>
    <row r="43" spans="1:1">
      <c r="A43" t="s">
        <v>56</v>
      </c>
    </row>
    <row r="44" spans="1:1">
      <c r="A44" t="s">
        <v>57</v>
      </c>
    </row>
    <row r="45" spans="1:1">
      <c r="A45" t="s">
        <v>58</v>
      </c>
    </row>
    <row r="46" spans="1:1">
      <c r="A46" t="s">
        <v>59</v>
      </c>
    </row>
    <row r="47" spans="1:1">
      <c r="A47" t="s">
        <v>60</v>
      </c>
    </row>
    <row r="48" spans="1:1">
      <c r="A48" t="s">
        <v>61</v>
      </c>
    </row>
    <row r="49" spans="1:1">
      <c r="A49" t="s">
        <v>62</v>
      </c>
    </row>
    <row r="50" spans="1:1">
      <c r="A50" t="s">
        <v>63</v>
      </c>
    </row>
    <row r="51" spans="1:1">
      <c r="A51" t="s">
        <v>64</v>
      </c>
    </row>
    <row r="52" spans="1:1">
      <c r="A52" t="s">
        <v>65</v>
      </c>
    </row>
    <row r="53" spans="1:1">
      <c r="A53" t="s">
        <v>66</v>
      </c>
    </row>
    <row r="54" spans="1:1">
      <c r="A54" t="s">
        <v>67</v>
      </c>
    </row>
    <row r="55" spans="1:1">
      <c r="A55" t="s">
        <v>68</v>
      </c>
    </row>
    <row r="56" spans="1:1">
      <c r="A56" t="s">
        <v>69</v>
      </c>
    </row>
    <row r="57" spans="1:1">
      <c r="A57" t="s">
        <v>70</v>
      </c>
    </row>
    <row r="58" spans="1:1">
      <c r="A58" t="s">
        <v>71</v>
      </c>
    </row>
    <row r="59" spans="1:1">
      <c r="A59" t="s">
        <v>72</v>
      </c>
    </row>
    <row r="60" spans="1:1">
      <c r="A60" t="s">
        <v>73</v>
      </c>
    </row>
    <row r="61" spans="1:1">
      <c r="A61" t="s">
        <v>74</v>
      </c>
    </row>
    <row r="62" spans="1:1">
      <c r="A62" t="s">
        <v>75</v>
      </c>
    </row>
    <row r="63" spans="1:1">
      <c r="A63" t="s">
        <v>76</v>
      </c>
    </row>
    <row r="64" spans="1:1">
      <c r="A64" t="s">
        <v>77</v>
      </c>
    </row>
    <row r="65" spans="1:1">
      <c r="A65" t="s">
        <v>78</v>
      </c>
    </row>
    <row r="66" spans="1:1">
      <c r="A66" t="s">
        <v>79</v>
      </c>
    </row>
    <row r="67" spans="1:1">
      <c r="A67" t="s">
        <v>80</v>
      </c>
    </row>
    <row r="68" spans="1:1">
      <c r="A68" t="s">
        <v>81</v>
      </c>
    </row>
    <row r="69" spans="1:1">
      <c r="A69" t="s">
        <v>82</v>
      </c>
    </row>
    <row r="70" spans="1:1">
      <c r="A70" t="s">
        <v>83</v>
      </c>
    </row>
    <row r="71" spans="1:1">
      <c r="A71" t="s">
        <v>84</v>
      </c>
    </row>
    <row r="72" spans="1:1">
      <c r="A72" t="s">
        <v>85</v>
      </c>
    </row>
    <row r="73" spans="1:1">
      <c r="A73" t="s">
        <v>86</v>
      </c>
    </row>
    <row r="74" spans="1:1">
      <c r="A74" t="s">
        <v>87</v>
      </c>
    </row>
    <row r="75" spans="1:1">
      <c r="A75" t="s">
        <v>88</v>
      </c>
    </row>
    <row r="76" spans="1:1">
      <c r="A76" t="s">
        <v>89</v>
      </c>
    </row>
    <row r="77" spans="1:1">
      <c r="A77" t="s">
        <v>90</v>
      </c>
    </row>
    <row r="78" spans="1:1">
      <c r="A78" t="s">
        <v>91</v>
      </c>
    </row>
    <row r="79" spans="1:1">
      <c r="A79" t="s">
        <v>92</v>
      </c>
    </row>
    <row r="80" spans="1:1">
      <c r="A80" t="s">
        <v>93</v>
      </c>
    </row>
    <row r="81" spans="1:1">
      <c r="A81" t="s">
        <v>94</v>
      </c>
    </row>
    <row r="82" spans="1:1">
      <c r="A82" t="s">
        <v>95</v>
      </c>
    </row>
    <row r="83" spans="1:1">
      <c r="A83" t="s">
        <v>96</v>
      </c>
    </row>
    <row r="84" spans="1:1">
      <c r="A84" t="s">
        <v>97</v>
      </c>
    </row>
    <row r="85" spans="1:1">
      <c r="A85" t="s">
        <v>98</v>
      </c>
    </row>
    <row r="86" spans="1:1">
      <c r="A86" t="s">
        <v>99</v>
      </c>
    </row>
    <row r="87" spans="1:1">
      <c r="A87" t="s">
        <v>100</v>
      </c>
    </row>
    <row r="88" spans="1:1">
      <c r="A88" t="s">
        <v>101</v>
      </c>
    </row>
    <row r="89" spans="1:1">
      <c r="A89" t="s">
        <v>102</v>
      </c>
    </row>
    <row r="90" spans="1:1">
      <c r="A90" t="s">
        <v>103</v>
      </c>
    </row>
    <row r="91" spans="1:1">
      <c r="A91" t="s">
        <v>104</v>
      </c>
    </row>
    <row r="92" spans="1:1">
      <c r="A92" t="s">
        <v>105</v>
      </c>
    </row>
    <row r="93" spans="1:1">
      <c r="A93" t="s">
        <v>106</v>
      </c>
    </row>
    <row r="94" spans="1:1">
      <c r="A94" t="s">
        <v>107</v>
      </c>
    </row>
    <row r="95" spans="1:1">
      <c r="A95" t="s">
        <v>108</v>
      </c>
    </row>
    <row r="96" spans="1:1">
      <c r="A96" t="s">
        <v>109</v>
      </c>
    </row>
    <row r="97" spans="1:1">
      <c r="A97" t="s">
        <v>110</v>
      </c>
    </row>
    <row r="98" spans="1:1">
      <c r="A98" t="s">
        <v>111</v>
      </c>
    </row>
    <row r="99" spans="1:1">
      <c r="A99" t="s">
        <v>112</v>
      </c>
    </row>
    <row r="100" spans="1:1">
      <c r="A100" t="s">
        <v>113</v>
      </c>
    </row>
    <row r="101" spans="1:1">
      <c r="A101" t="s">
        <v>114</v>
      </c>
    </row>
    <row r="102" spans="1:1">
      <c r="A102" t="s">
        <v>115</v>
      </c>
    </row>
    <row r="103" spans="1:1">
      <c r="A103" t="s">
        <v>116</v>
      </c>
    </row>
    <row r="104" spans="1:1">
      <c r="A104" t="s">
        <v>117</v>
      </c>
    </row>
    <row r="105" spans="1:1">
      <c r="A105" t="s">
        <v>118</v>
      </c>
    </row>
    <row r="106" spans="1:1">
      <c r="A106" t="s">
        <v>119</v>
      </c>
    </row>
    <row r="107" spans="1:1">
      <c r="A107" t="s">
        <v>120</v>
      </c>
    </row>
    <row r="108" spans="1:1">
      <c r="A108" t="s">
        <v>121</v>
      </c>
    </row>
    <row r="109" spans="1:1">
      <c r="A109" t="s">
        <v>122</v>
      </c>
    </row>
    <row r="110" spans="1:1">
      <c r="A110" t="s">
        <v>123</v>
      </c>
    </row>
    <row r="111" spans="1:1">
      <c r="A111" t="s">
        <v>124</v>
      </c>
    </row>
    <row r="112" spans="1:1">
      <c r="A112" t="s">
        <v>125</v>
      </c>
    </row>
    <row r="113" spans="1:1">
      <c r="A113" t="s">
        <v>126</v>
      </c>
    </row>
    <row r="114" spans="1:1">
      <c r="A114" t="s">
        <v>127</v>
      </c>
    </row>
    <row r="115" spans="1:1">
      <c r="A115" t="s">
        <v>128</v>
      </c>
    </row>
    <row r="116" spans="1:1">
      <c r="A116" t="s">
        <v>129</v>
      </c>
    </row>
    <row r="117" spans="1:1">
      <c r="A117" t="s">
        <v>130</v>
      </c>
    </row>
    <row r="118" spans="1:1">
      <c r="A118" t="s">
        <v>131</v>
      </c>
    </row>
    <row r="119" spans="1:1">
      <c r="A119" t="s">
        <v>132</v>
      </c>
    </row>
    <row r="120" spans="1:1">
      <c r="A120" t="s">
        <v>133</v>
      </c>
    </row>
    <row r="121" spans="1:1">
      <c r="A121" t="s">
        <v>134</v>
      </c>
    </row>
    <row r="122" spans="1:1">
      <c r="A122" t="s">
        <v>135</v>
      </c>
    </row>
    <row r="123" spans="1:1">
      <c r="A123" t="s">
        <v>136</v>
      </c>
    </row>
    <row r="124" spans="1:1">
      <c r="A124" t="s">
        <v>137</v>
      </c>
    </row>
    <row r="125" spans="1:1">
      <c r="A125" t="s">
        <v>138</v>
      </c>
    </row>
    <row r="126" spans="1:1">
      <c r="A126" t="s">
        <v>139</v>
      </c>
    </row>
    <row r="127" spans="1:1">
      <c r="A127" t="s">
        <v>140</v>
      </c>
    </row>
    <row r="128" spans="1:1">
      <c r="A128" t="s">
        <v>141</v>
      </c>
    </row>
    <row r="129" spans="1:1">
      <c r="A129" t="s">
        <v>142</v>
      </c>
    </row>
    <row r="130" spans="1:1">
      <c r="A130" t="s">
        <v>143</v>
      </c>
    </row>
    <row r="131" spans="1:1">
      <c r="A131" t="s">
        <v>144</v>
      </c>
    </row>
    <row r="132" spans="1:1">
      <c r="A132" t="s">
        <v>145</v>
      </c>
    </row>
    <row r="133" spans="1:1">
      <c r="A133" t="s">
        <v>146</v>
      </c>
    </row>
    <row r="134" spans="1:1">
      <c r="A134" t="s">
        <v>147</v>
      </c>
    </row>
    <row r="135" spans="1:1">
      <c r="A135" t="s">
        <v>148</v>
      </c>
    </row>
    <row r="136" spans="1:1">
      <c r="A136" t="s">
        <v>149</v>
      </c>
    </row>
    <row r="137" spans="1:1">
      <c r="A137" t="s">
        <v>150</v>
      </c>
    </row>
    <row r="138" spans="1:1">
      <c r="A138" t="s">
        <v>151</v>
      </c>
    </row>
    <row r="139" spans="1:1">
      <c r="A139" t="s">
        <v>152</v>
      </c>
    </row>
    <row r="140" spans="1:1">
      <c r="A140" t="s">
        <v>153</v>
      </c>
    </row>
    <row r="141" spans="1:1">
      <c r="A141" t="s">
        <v>154</v>
      </c>
    </row>
    <row r="142" spans="1:1">
      <c r="A142" t="s">
        <v>155</v>
      </c>
    </row>
    <row r="143" spans="1:1">
      <c r="A143" t="s">
        <v>156</v>
      </c>
    </row>
    <row r="144" spans="1:1">
      <c r="A144" t="s">
        <v>157</v>
      </c>
    </row>
    <row r="145" spans="1:1">
      <c r="A145" t="s">
        <v>158</v>
      </c>
    </row>
    <row r="146" spans="1:1">
      <c r="A146" t="s">
        <v>159</v>
      </c>
    </row>
    <row r="147" spans="1:1">
      <c r="A147" t="s">
        <v>160</v>
      </c>
    </row>
    <row r="148" spans="1:1">
      <c r="A148" t="s">
        <v>161</v>
      </c>
    </row>
    <row r="149" spans="1:1">
      <c r="A149" t="s">
        <v>162</v>
      </c>
    </row>
    <row r="150" spans="1:1">
      <c r="A150" t="s">
        <v>163</v>
      </c>
    </row>
    <row r="151" spans="1:1">
      <c r="A151" t="s">
        <v>164</v>
      </c>
    </row>
    <row r="152" spans="1:1">
      <c r="A152" t="s">
        <v>165</v>
      </c>
    </row>
    <row r="153" spans="1:1">
      <c r="A153" t="s">
        <v>166</v>
      </c>
    </row>
    <row r="154" spans="1:1">
      <c r="A154" t="s">
        <v>167</v>
      </c>
    </row>
    <row r="155" spans="1:1">
      <c r="A155" t="s">
        <v>168</v>
      </c>
    </row>
    <row r="156" spans="1:1">
      <c r="A156" t="s">
        <v>169</v>
      </c>
    </row>
    <row r="157" spans="1:1">
      <c r="A157" t="s">
        <v>170</v>
      </c>
    </row>
    <row r="158" spans="1:1">
      <c r="A158" t="s">
        <v>171</v>
      </c>
    </row>
    <row r="159" spans="1:1">
      <c r="A159" t="s">
        <v>172</v>
      </c>
    </row>
    <row r="160" spans="1:1">
      <c r="A160" t="s">
        <v>173</v>
      </c>
    </row>
    <row r="161" spans="1:1">
      <c r="A161" t="s">
        <v>174</v>
      </c>
    </row>
    <row r="162" spans="1:1">
      <c r="A162" t="s">
        <v>175</v>
      </c>
    </row>
    <row r="163" spans="1:1">
      <c r="A163" t="s">
        <v>176</v>
      </c>
    </row>
    <row r="164" spans="1:1">
      <c r="A164" t="s">
        <v>177</v>
      </c>
    </row>
    <row r="165" spans="1:1">
      <c r="A165" t="s">
        <v>178</v>
      </c>
    </row>
    <row r="166" spans="1:1">
      <c r="A166" t="s">
        <v>179</v>
      </c>
    </row>
    <row r="167" spans="1:1">
      <c r="A167" t="s">
        <v>180</v>
      </c>
    </row>
    <row r="168" spans="1:1">
      <c r="A168" t="s">
        <v>181</v>
      </c>
    </row>
    <row r="169" spans="1:1">
      <c r="A169" t="s">
        <v>182</v>
      </c>
    </row>
    <row r="170" spans="1:1">
      <c r="A170" t="s">
        <v>183</v>
      </c>
    </row>
    <row r="171" spans="1:1">
      <c r="A171" t="s">
        <v>184</v>
      </c>
    </row>
    <row r="172" spans="1:1">
      <c r="A172" t="s">
        <v>185</v>
      </c>
    </row>
    <row r="173" spans="1:1">
      <c r="A173" t="s">
        <v>186</v>
      </c>
    </row>
    <row r="174" spans="1:1">
      <c r="A174" t="s">
        <v>187</v>
      </c>
    </row>
    <row r="175" spans="1:1">
      <c r="A175" t="s">
        <v>188</v>
      </c>
    </row>
    <row r="176" spans="1:1">
      <c r="A176" t="s">
        <v>189</v>
      </c>
    </row>
    <row r="177" spans="1:1">
      <c r="A177" t="s">
        <v>190</v>
      </c>
    </row>
    <row r="178" spans="1:1">
      <c r="A178" t="s">
        <v>191</v>
      </c>
    </row>
    <row r="179" spans="1:1">
      <c r="A179" t="s">
        <v>192</v>
      </c>
    </row>
    <row r="180" spans="1:1">
      <c r="A180" t="s">
        <v>193</v>
      </c>
    </row>
    <row r="181" spans="1:1">
      <c r="A181" t="s">
        <v>194</v>
      </c>
    </row>
    <row r="182" spans="1:1">
      <c r="A182" t="s">
        <v>195</v>
      </c>
    </row>
    <row r="183" spans="1:1">
      <c r="A183" t="s">
        <v>196</v>
      </c>
    </row>
    <row r="184" spans="1:1">
      <c r="A184" t="s">
        <v>197</v>
      </c>
    </row>
    <row r="185" spans="1:1">
      <c r="A185" t="s">
        <v>198</v>
      </c>
    </row>
    <row r="186" spans="1:1">
      <c r="A186" t="s">
        <v>199</v>
      </c>
    </row>
    <row r="187" spans="1:1">
      <c r="A187" t="s">
        <v>200</v>
      </c>
    </row>
    <row r="188" spans="1:1">
      <c r="A188" t="s">
        <v>201</v>
      </c>
    </row>
    <row r="189" spans="1:1">
      <c r="A189" t="s">
        <v>202</v>
      </c>
    </row>
    <row r="190" spans="1:1">
      <c r="A190" t="s">
        <v>203</v>
      </c>
    </row>
    <row r="191" spans="1:1">
      <c r="A191" t="s">
        <v>204</v>
      </c>
    </row>
    <row r="192" spans="1:1">
      <c r="A192" t="s">
        <v>205</v>
      </c>
    </row>
    <row r="193" spans="1:1">
      <c r="A193" t="s">
        <v>206</v>
      </c>
    </row>
    <row r="194" spans="1:1">
      <c r="A194" t="s">
        <v>207</v>
      </c>
    </row>
    <row r="195" spans="1:1">
      <c r="A195" t="s">
        <v>208</v>
      </c>
    </row>
    <row r="196" spans="1:1">
      <c r="A196" t="s">
        <v>209</v>
      </c>
    </row>
    <row r="197" spans="1:1">
      <c r="A197" t="s">
        <v>210</v>
      </c>
    </row>
    <row r="198" spans="1:1">
      <c r="A198" t="s">
        <v>211</v>
      </c>
    </row>
    <row r="199" spans="1:1">
      <c r="A199" t="s">
        <v>212</v>
      </c>
    </row>
    <row r="200" spans="1:1">
      <c r="A200" t="s">
        <v>213</v>
      </c>
    </row>
    <row r="201" spans="1:1">
      <c r="A201" t="s">
        <v>214</v>
      </c>
    </row>
    <row r="202" spans="1:1">
      <c r="A202" t="s">
        <v>215</v>
      </c>
    </row>
    <row r="203" spans="1:1">
      <c r="A203" t="s">
        <v>216</v>
      </c>
    </row>
    <row r="204" spans="1:1">
      <c r="A204" t="s">
        <v>217</v>
      </c>
    </row>
    <row r="205" spans="1:1">
      <c r="A205" t="s">
        <v>218</v>
      </c>
    </row>
    <row r="206" spans="1:1">
      <c r="A206" t="s">
        <v>219</v>
      </c>
    </row>
    <row r="207" spans="1:1">
      <c r="A207" t="s">
        <v>220</v>
      </c>
    </row>
    <row r="208" spans="1:1">
      <c r="A208" t="s">
        <v>221</v>
      </c>
    </row>
    <row r="209" spans="1:1">
      <c r="A209" t="s">
        <v>222</v>
      </c>
    </row>
    <row r="210" spans="1:1">
      <c r="A210" t="s">
        <v>223</v>
      </c>
    </row>
    <row r="211" spans="1:1">
      <c r="A211" t="s">
        <v>224</v>
      </c>
    </row>
    <row r="212" spans="1:1">
      <c r="A212" t="s">
        <v>225</v>
      </c>
    </row>
    <row r="213" spans="1:1">
      <c r="A213" t="s">
        <v>226</v>
      </c>
    </row>
    <row r="214" spans="1:1">
      <c r="A214" t="s">
        <v>227</v>
      </c>
    </row>
    <row r="215" spans="1:1">
      <c r="A215" t="s">
        <v>228</v>
      </c>
    </row>
    <row r="216" spans="1:1">
      <c r="A216" t="s">
        <v>229</v>
      </c>
    </row>
    <row r="217" spans="1:1">
      <c r="A217" t="s">
        <v>230</v>
      </c>
    </row>
    <row r="218" spans="1:1">
      <c r="A218" t="s">
        <v>231</v>
      </c>
    </row>
    <row r="219" spans="1:1">
      <c r="A219" t="s">
        <v>232</v>
      </c>
    </row>
    <row r="220" spans="1:1">
      <c r="A220" t="s">
        <v>233</v>
      </c>
    </row>
    <row r="221" spans="1:1">
      <c r="A221" t="s">
        <v>234</v>
      </c>
    </row>
    <row r="222" spans="1:1">
      <c r="A222" t="s">
        <v>235</v>
      </c>
    </row>
    <row r="223" spans="1:1">
      <c r="A223" t="s">
        <v>236</v>
      </c>
    </row>
    <row r="224" spans="1:1">
      <c r="A224" t="s">
        <v>237</v>
      </c>
    </row>
    <row r="225" spans="1:1">
      <c r="A225" t="s">
        <v>238</v>
      </c>
    </row>
    <row r="226" spans="1:1">
      <c r="A226" t="s">
        <v>239</v>
      </c>
    </row>
    <row r="227" spans="1:1">
      <c r="A227" t="s">
        <v>240</v>
      </c>
    </row>
    <row r="228" spans="1:1">
      <c r="A228" t="s">
        <v>241</v>
      </c>
    </row>
    <row r="229" spans="1:1">
      <c r="A229" t="s">
        <v>242</v>
      </c>
    </row>
    <row r="230" spans="1:1">
      <c r="A230" t="s">
        <v>243</v>
      </c>
    </row>
    <row r="231" spans="1:1">
      <c r="A231" t="s">
        <v>244</v>
      </c>
    </row>
    <row r="232" spans="1:1">
      <c r="A232" t="s">
        <v>245</v>
      </c>
    </row>
    <row r="233" spans="1:1">
      <c r="A233" t="s">
        <v>246</v>
      </c>
    </row>
    <row r="234" spans="1:1">
      <c r="A234" t="s">
        <v>247</v>
      </c>
    </row>
    <row r="235" spans="1:1">
      <c r="A235" t="s">
        <v>248</v>
      </c>
    </row>
    <row r="236" spans="1:1">
      <c r="A236" t="s">
        <v>249</v>
      </c>
    </row>
    <row r="237" spans="1:1">
      <c r="A237" t="s">
        <v>250</v>
      </c>
    </row>
    <row r="238" spans="1:1">
      <c r="A238" t="s">
        <v>251</v>
      </c>
    </row>
    <row r="239" spans="1:1">
      <c r="A239" t="s">
        <v>252</v>
      </c>
    </row>
    <row r="240" spans="1:1">
      <c r="A240" t="s">
        <v>253</v>
      </c>
    </row>
    <row r="241" spans="1:1">
      <c r="A241" t="s">
        <v>254</v>
      </c>
    </row>
    <row r="242" spans="1:1">
      <c r="A242" t="s">
        <v>255</v>
      </c>
    </row>
    <row r="243" spans="1:1">
      <c r="A243" t="s">
        <v>256</v>
      </c>
    </row>
    <row r="244" spans="1:1">
      <c r="A244" t="s">
        <v>257</v>
      </c>
    </row>
    <row r="245" spans="1:1">
      <c r="A245" t="s">
        <v>258</v>
      </c>
    </row>
    <row r="246" spans="1:1">
      <c r="A246" t="s">
        <v>259</v>
      </c>
    </row>
    <row r="247" spans="1:1">
      <c r="A247" t="s">
        <v>260</v>
      </c>
    </row>
    <row r="248" spans="1:1">
      <c r="A248" t="s">
        <v>261</v>
      </c>
    </row>
    <row r="249" spans="1:1">
      <c r="A249" t="s">
        <v>262</v>
      </c>
    </row>
    <row r="250" spans="1:1">
      <c r="A250" t="s">
        <v>263</v>
      </c>
    </row>
    <row r="251" spans="1:1">
      <c r="A251" t="s">
        <v>264</v>
      </c>
    </row>
    <row r="252" spans="1:1">
      <c r="A252" t="s">
        <v>265</v>
      </c>
    </row>
    <row r="253" spans="1:1">
      <c r="A253" t="s">
        <v>266</v>
      </c>
    </row>
    <row r="254" spans="1:1">
      <c r="A254" t="s">
        <v>267</v>
      </c>
    </row>
    <row r="255" spans="1:1">
      <c r="A255" t="s">
        <v>268</v>
      </c>
    </row>
    <row r="256" spans="1:1">
      <c r="A256" t="s">
        <v>269</v>
      </c>
    </row>
    <row r="257" spans="1:1">
      <c r="A257" t="s">
        <v>270</v>
      </c>
    </row>
    <row r="258" spans="1:1">
      <c r="A258" t="s">
        <v>271</v>
      </c>
    </row>
    <row r="259" spans="1:1">
      <c r="A259" t="s">
        <v>272</v>
      </c>
    </row>
    <row r="260" spans="1:1">
      <c r="A260" t="s">
        <v>273</v>
      </c>
    </row>
    <row r="261" spans="1:1">
      <c r="A261" t="s">
        <v>274</v>
      </c>
    </row>
    <row r="262" spans="1:1">
      <c r="A262" t="s">
        <v>275</v>
      </c>
    </row>
    <row r="263" spans="1:1">
      <c r="A263" t="s">
        <v>276</v>
      </c>
    </row>
    <row r="264" spans="1:1">
      <c r="A264" t="s">
        <v>277</v>
      </c>
    </row>
    <row r="265" spans="1:1">
      <c r="A265" t="s">
        <v>278</v>
      </c>
    </row>
    <row r="266" spans="1:1">
      <c r="A266" t="s">
        <v>279</v>
      </c>
    </row>
    <row r="267" spans="1:1">
      <c r="A267" t="s">
        <v>280</v>
      </c>
    </row>
    <row r="268" spans="1:1">
      <c r="A268" t="s">
        <v>281</v>
      </c>
    </row>
    <row r="269" spans="1:1">
      <c r="A269" t="s">
        <v>282</v>
      </c>
    </row>
    <row r="270" spans="1:1">
      <c r="A270" t="s">
        <v>283</v>
      </c>
    </row>
    <row r="271" spans="1:1">
      <c r="A271" t="s">
        <v>284</v>
      </c>
    </row>
    <row r="272" spans="1:1">
      <c r="A272" t="s">
        <v>285</v>
      </c>
    </row>
    <row r="273" spans="1:1">
      <c r="A273" t="s">
        <v>286</v>
      </c>
    </row>
    <row r="274" spans="1:1">
      <c r="A274" t="s">
        <v>287</v>
      </c>
    </row>
    <row r="275" spans="1:1">
      <c r="A275" t="s">
        <v>288</v>
      </c>
    </row>
    <row r="276" spans="1:1">
      <c r="A276" t="s">
        <v>289</v>
      </c>
    </row>
    <row r="277" spans="1:1">
      <c r="A277" t="s">
        <v>290</v>
      </c>
    </row>
    <row r="278" spans="1:1">
      <c r="A278" t="s">
        <v>291</v>
      </c>
    </row>
    <row r="279" spans="1:1">
      <c r="A279" t="s">
        <v>292</v>
      </c>
    </row>
    <row r="280" spans="1:1">
      <c r="A280" t="s">
        <v>293</v>
      </c>
    </row>
    <row r="281" spans="1:1">
      <c r="A281" t="s">
        <v>294</v>
      </c>
    </row>
    <row r="282" spans="1:1">
      <c r="A282" t="s">
        <v>295</v>
      </c>
    </row>
    <row r="283" spans="1:1">
      <c r="A283" t="s">
        <v>296</v>
      </c>
    </row>
    <row r="284" spans="1:1">
      <c r="A284" t="s">
        <v>297</v>
      </c>
    </row>
    <row r="285" spans="1:1">
      <c r="A285" t="s">
        <v>298</v>
      </c>
    </row>
    <row r="286" spans="1:1">
      <c r="A286" t="s">
        <v>299</v>
      </c>
    </row>
    <row r="287" spans="1:1">
      <c r="A287" t="s">
        <v>300</v>
      </c>
    </row>
    <row r="288" spans="1:1">
      <c r="A288" t="s">
        <v>301</v>
      </c>
    </row>
    <row r="289" spans="1:1">
      <c r="A289" t="s">
        <v>302</v>
      </c>
    </row>
    <row r="290" spans="1:1">
      <c r="A290" t="s">
        <v>303</v>
      </c>
    </row>
    <row r="291" spans="1:1">
      <c r="A291" t="s">
        <v>304</v>
      </c>
    </row>
    <row r="292" spans="1:1">
      <c r="A292" t="s">
        <v>305</v>
      </c>
    </row>
    <row r="293" spans="1:1">
      <c r="A293" t="s">
        <v>306</v>
      </c>
    </row>
    <row r="294" spans="1:1">
      <c r="A294" t="s">
        <v>307</v>
      </c>
    </row>
    <row r="295" spans="1:1">
      <c r="A295" t="s">
        <v>308</v>
      </c>
    </row>
    <row r="296" spans="1:1">
      <c r="A296" t="s">
        <v>309</v>
      </c>
    </row>
    <row r="297" spans="1:1">
      <c r="A297" t="s">
        <v>310</v>
      </c>
    </row>
    <row r="298" spans="1:1">
      <c r="A298" t="s">
        <v>311</v>
      </c>
    </row>
    <row r="299" spans="1:1">
      <c r="A299" t="s">
        <v>312</v>
      </c>
    </row>
    <row r="300" spans="1:1">
      <c r="A300" t="s">
        <v>313</v>
      </c>
    </row>
    <row r="301" spans="1:1">
      <c r="A301" t="s">
        <v>314</v>
      </c>
    </row>
    <row r="302" spans="1:1">
      <c r="A302" t="s">
        <v>315</v>
      </c>
    </row>
    <row r="303" spans="1:1">
      <c r="A303" t="s">
        <v>316</v>
      </c>
    </row>
    <row r="304" spans="1:1">
      <c r="A304" t="s">
        <v>317</v>
      </c>
    </row>
    <row r="305" spans="1:1">
      <c r="A305" t="s">
        <v>318</v>
      </c>
    </row>
    <row r="306" spans="1:1">
      <c r="A306" t="s">
        <v>319</v>
      </c>
    </row>
    <row r="307" spans="1:1">
      <c r="A307" t="s">
        <v>320</v>
      </c>
    </row>
    <row r="308" spans="1:1">
      <c r="A308" t="s">
        <v>321</v>
      </c>
    </row>
    <row r="309" spans="1:1">
      <c r="A309" t="s">
        <v>322</v>
      </c>
    </row>
    <row r="310" spans="1:1">
      <c r="A310" t="s">
        <v>323</v>
      </c>
    </row>
    <row r="311" spans="1:1">
      <c r="A311" t="s">
        <v>324</v>
      </c>
    </row>
    <row r="312" spans="1:1">
      <c r="A312" t="s">
        <v>325</v>
      </c>
    </row>
    <row r="313" spans="1:1">
      <c r="A313" t="s">
        <v>326</v>
      </c>
    </row>
    <row r="314" spans="1:1">
      <c r="A314" t="s">
        <v>327</v>
      </c>
    </row>
    <row r="315" spans="1:1">
      <c r="A315" t="s">
        <v>328</v>
      </c>
    </row>
    <row r="316" spans="1:1">
      <c r="A316" t="s">
        <v>329</v>
      </c>
    </row>
    <row r="317" spans="1:1">
      <c r="A317" t="s">
        <v>330</v>
      </c>
    </row>
    <row r="318" spans="1:1">
      <c r="A318" t="s">
        <v>331</v>
      </c>
    </row>
    <row r="319" spans="1:1">
      <c r="A319" t="s">
        <v>332</v>
      </c>
    </row>
    <row r="320" spans="1:1">
      <c r="A320" t="s">
        <v>333</v>
      </c>
    </row>
    <row r="321" spans="1:1">
      <c r="A321" t="s">
        <v>334</v>
      </c>
    </row>
    <row r="322" spans="1:1">
      <c r="A322" t="s">
        <v>335</v>
      </c>
    </row>
    <row r="323" spans="1:1">
      <c r="A323" t="s">
        <v>336</v>
      </c>
    </row>
    <row r="324" spans="1:1">
      <c r="A324" t="s">
        <v>337</v>
      </c>
    </row>
    <row r="325" spans="1:1">
      <c r="A325" t="s">
        <v>338</v>
      </c>
    </row>
    <row r="326" spans="1:1">
      <c r="A326" t="s">
        <v>339</v>
      </c>
    </row>
    <row r="327" spans="1:1">
      <c r="A327" t="s">
        <v>340</v>
      </c>
    </row>
    <row r="328" spans="1:1">
      <c r="A328" t="s">
        <v>341</v>
      </c>
    </row>
    <row r="329" spans="1:1">
      <c r="A329" t="s">
        <v>342</v>
      </c>
    </row>
    <row r="330" spans="1:1">
      <c r="A330" t="s">
        <v>343</v>
      </c>
    </row>
    <row r="331" spans="1:1">
      <c r="A331" t="s">
        <v>344</v>
      </c>
    </row>
    <row r="332" spans="1:1">
      <c r="A332" t="s">
        <v>345</v>
      </c>
    </row>
    <row r="333" spans="1:1">
      <c r="A333" t="s">
        <v>346</v>
      </c>
    </row>
    <row r="334" spans="1:1">
      <c r="A334" t="s">
        <v>347</v>
      </c>
    </row>
    <row r="335" spans="1:1">
      <c r="A335" t="s">
        <v>348</v>
      </c>
    </row>
    <row r="336" spans="1:1">
      <c r="A336" t="s">
        <v>349</v>
      </c>
    </row>
    <row r="337" spans="1:1">
      <c r="A337" t="s">
        <v>350</v>
      </c>
    </row>
    <row r="338" spans="1:1">
      <c r="A338" t="s">
        <v>351</v>
      </c>
    </row>
    <row r="339" spans="1:1">
      <c r="A339" t="s">
        <v>352</v>
      </c>
    </row>
    <row r="340" spans="1:1">
      <c r="A340" t="s">
        <v>353</v>
      </c>
    </row>
    <row r="341" spans="1:1">
      <c r="A341" t="s">
        <v>354</v>
      </c>
    </row>
    <row r="342" spans="1:1">
      <c r="A342" t="s">
        <v>355</v>
      </c>
    </row>
    <row r="343" spans="1:1">
      <c r="A343" t="s">
        <v>356</v>
      </c>
    </row>
    <row r="344" spans="1:1">
      <c r="A344" t="s">
        <v>357</v>
      </c>
    </row>
    <row r="345" spans="1:1">
      <c r="A345" t="s">
        <v>358</v>
      </c>
    </row>
    <row r="346" spans="1:1">
      <c r="A346" t="s">
        <v>359</v>
      </c>
    </row>
    <row r="347" spans="1:1">
      <c r="A347" t="s">
        <v>360</v>
      </c>
    </row>
    <row r="348" spans="1:1">
      <c r="A348" t="s">
        <v>361</v>
      </c>
    </row>
    <row r="349" spans="1:1">
      <c r="A349" t="s">
        <v>362</v>
      </c>
    </row>
    <row r="350" spans="1:1">
      <c r="A350" t="s">
        <v>363</v>
      </c>
    </row>
    <row r="351" spans="1:1">
      <c r="A351" t="s">
        <v>364</v>
      </c>
    </row>
    <row r="352" spans="1:1">
      <c r="A352" t="s">
        <v>365</v>
      </c>
    </row>
    <row r="353" spans="1:1">
      <c r="A353" t="s">
        <v>366</v>
      </c>
    </row>
    <row r="354" spans="1:1">
      <c r="A354" t="s">
        <v>367</v>
      </c>
    </row>
    <row r="355" spans="1:1">
      <c r="A355" t="s">
        <v>368</v>
      </c>
    </row>
    <row r="356" spans="1:1">
      <c r="A356" t="s">
        <v>369</v>
      </c>
    </row>
    <row r="357" spans="1:1">
      <c r="A357" t="s">
        <v>370</v>
      </c>
    </row>
    <row r="358" spans="1:1">
      <c r="A358" t="s">
        <v>371</v>
      </c>
    </row>
    <row r="359" spans="1:1">
      <c r="A359" t="s">
        <v>372</v>
      </c>
    </row>
    <row r="360" spans="1:1">
      <c r="A360" t="s">
        <v>373</v>
      </c>
    </row>
    <row r="361" spans="1:1">
      <c r="A361" t="s">
        <v>374</v>
      </c>
    </row>
    <row r="362" spans="1:1">
      <c r="A362" t="s">
        <v>375</v>
      </c>
    </row>
    <row r="363" spans="1:1">
      <c r="A363" t="s">
        <v>376</v>
      </c>
    </row>
    <row r="364" spans="1:1">
      <c r="A364" t="s">
        <v>377</v>
      </c>
    </row>
    <row r="365" spans="1:1">
      <c r="A365" t="s">
        <v>378</v>
      </c>
    </row>
    <row r="366" spans="1:1">
      <c r="A366" t="s">
        <v>379</v>
      </c>
    </row>
    <row r="367" spans="1:1">
      <c r="A367" t="s">
        <v>380</v>
      </c>
    </row>
    <row r="368" spans="1:1">
      <c r="A368" t="s">
        <v>381</v>
      </c>
    </row>
    <row r="369" spans="1:1">
      <c r="A369" t="s">
        <v>382</v>
      </c>
    </row>
    <row r="370" spans="1:1">
      <c r="A370" t="s">
        <v>383</v>
      </c>
    </row>
    <row r="371" spans="1:1">
      <c r="A371" t="s">
        <v>384</v>
      </c>
    </row>
    <row r="372" spans="1:1">
      <c r="A372" t="s">
        <v>385</v>
      </c>
    </row>
    <row r="373" spans="1:1">
      <c r="A373" t="s">
        <v>386</v>
      </c>
    </row>
    <row r="374" spans="1:1">
      <c r="A374" t="s">
        <v>387</v>
      </c>
    </row>
    <row r="375" spans="1:1">
      <c r="A375" t="s">
        <v>388</v>
      </c>
    </row>
    <row r="376" spans="1:1">
      <c r="A376" t="s">
        <v>389</v>
      </c>
    </row>
    <row r="377" spans="1:1">
      <c r="A377" t="s">
        <v>390</v>
      </c>
    </row>
    <row r="378" spans="1:1">
      <c r="A378" t="s">
        <v>391</v>
      </c>
    </row>
    <row r="379" spans="1:1">
      <c r="A379" t="s">
        <v>392</v>
      </c>
    </row>
    <row r="380" spans="1:1">
      <c r="A380" t="s">
        <v>393</v>
      </c>
    </row>
    <row r="381" spans="1:1">
      <c r="A381" t="s">
        <v>394</v>
      </c>
    </row>
    <row r="382" spans="1:1">
      <c r="A382" t="s">
        <v>395</v>
      </c>
    </row>
    <row r="383" spans="1:1">
      <c r="A383" t="s">
        <v>396</v>
      </c>
    </row>
    <row r="384" spans="1:1">
      <c r="A384" t="s">
        <v>397</v>
      </c>
    </row>
    <row r="385" spans="1:1">
      <c r="A385" t="s">
        <v>398</v>
      </c>
    </row>
    <row r="386" spans="1:1">
      <c r="A386" t="s">
        <v>399</v>
      </c>
    </row>
    <row r="387" spans="1:1">
      <c r="A387" t="s">
        <v>400</v>
      </c>
    </row>
    <row r="388" spans="1:1">
      <c r="A388" t="s">
        <v>401</v>
      </c>
    </row>
    <row r="389" spans="1:1">
      <c r="A389" t="s">
        <v>402</v>
      </c>
    </row>
    <row r="390" spans="1:1">
      <c r="A390" t="s">
        <v>403</v>
      </c>
    </row>
    <row r="391" spans="1:1">
      <c r="A391" t="s">
        <v>404</v>
      </c>
    </row>
    <row r="392" spans="1:1">
      <c r="A392" t="s">
        <v>405</v>
      </c>
    </row>
    <row r="393" spans="1:1">
      <c r="A393" t="s">
        <v>406</v>
      </c>
    </row>
    <row r="394" spans="1:1">
      <c r="A394" t="s">
        <v>407</v>
      </c>
    </row>
    <row r="395" spans="1:1">
      <c r="A395" t="s">
        <v>408</v>
      </c>
    </row>
    <row r="396" spans="1:1">
      <c r="A396" t="s">
        <v>409</v>
      </c>
    </row>
    <row r="397" spans="1:1">
      <c r="A397" t="s">
        <v>410</v>
      </c>
    </row>
    <row r="398" spans="1:1">
      <c r="A398" t="s">
        <v>411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R401"/>
  <sheetViews>
    <sheetView workbookViewId="0">
      <selection activeCell="G10" sqref="G10"/>
    </sheetView>
  </sheetViews>
  <sheetFormatPr defaultRowHeight="17.399999999999999"/>
  <sheetData>
    <row r="1" spans="1:15">
      <c r="A1" t="s">
        <v>775</v>
      </c>
      <c r="B1">
        <f>MAX(B4:B401)</f>
        <v>46.6</v>
      </c>
      <c r="C1">
        <f t="shared" ref="C1:K1" si="0">MAX(C4:C401)</f>
        <v>8</v>
      </c>
      <c r="D1">
        <f t="shared" si="0"/>
        <v>455</v>
      </c>
      <c r="E1">
        <f t="shared" si="0"/>
        <v>230</v>
      </c>
      <c r="F1">
        <f t="shared" si="0"/>
        <v>5140</v>
      </c>
      <c r="G1">
        <f t="shared" si="0"/>
        <v>24.8</v>
      </c>
      <c r="H1">
        <f t="shared" si="0"/>
        <v>82</v>
      </c>
      <c r="I1">
        <f t="shared" si="0"/>
        <v>1</v>
      </c>
      <c r="J1">
        <f t="shared" si="0"/>
        <v>1</v>
      </c>
      <c r="K1">
        <f t="shared" si="0"/>
        <v>1</v>
      </c>
    </row>
    <row r="2" spans="1:15">
      <c r="A2" t="s">
        <v>776</v>
      </c>
      <c r="B2">
        <f>MIN(B4:B401)</f>
        <v>9</v>
      </c>
      <c r="C2">
        <f t="shared" ref="C2:K2" si="1">MIN(C4:C401)</f>
        <v>3</v>
      </c>
      <c r="D2">
        <f t="shared" si="1"/>
        <v>68</v>
      </c>
      <c r="E2">
        <f t="shared" si="1"/>
        <v>46</v>
      </c>
      <c r="F2">
        <f t="shared" si="1"/>
        <v>1613</v>
      </c>
      <c r="G2">
        <f t="shared" si="1"/>
        <v>8</v>
      </c>
      <c r="H2">
        <f t="shared" si="1"/>
        <v>70</v>
      </c>
      <c r="I2">
        <f t="shared" si="1"/>
        <v>0</v>
      </c>
      <c r="J2">
        <f t="shared" si="1"/>
        <v>0</v>
      </c>
      <c r="K2">
        <f t="shared" si="1"/>
        <v>0</v>
      </c>
    </row>
    <row r="4" spans="1:15">
      <c r="B4">
        <v>18</v>
      </c>
      <c r="C4">
        <v>8</v>
      </c>
      <c r="D4">
        <v>307</v>
      </c>
      <c r="E4">
        <v>130</v>
      </c>
      <c r="F4">
        <v>3504</v>
      </c>
      <c r="G4">
        <v>12</v>
      </c>
      <c r="H4">
        <v>70</v>
      </c>
      <c r="I4">
        <f>IF(L4=1,1,0)</f>
        <v>1</v>
      </c>
      <c r="J4">
        <f>IF(L4=2,1,0)</f>
        <v>0</v>
      </c>
      <c r="K4">
        <f>IF(L4=3,1,0)</f>
        <v>0</v>
      </c>
      <c r="L4">
        <f>VALUE(LEFT(M4,1))</f>
        <v>1</v>
      </c>
      <c r="M4" t="s">
        <v>412</v>
      </c>
      <c r="N4" t="s">
        <v>413</v>
      </c>
      <c r="O4" t="s">
        <v>414</v>
      </c>
    </row>
    <row r="5" spans="1:15">
      <c r="B5">
        <v>15</v>
      </c>
      <c r="C5">
        <v>8</v>
      </c>
      <c r="D5">
        <v>350</v>
      </c>
      <c r="E5">
        <v>165</v>
      </c>
      <c r="F5">
        <v>3693</v>
      </c>
      <c r="G5">
        <v>11.5</v>
      </c>
      <c r="H5">
        <v>70</v>
      </c>
      <c r="I5">
        <f>IF(L5=1,1,0)</f>
        <v>1</v>
      </c>
      <c r="J5">
        <f>IF(L5=2,1,0)</f>
        <v>0</v>
      </c>
      <c r="K5">
        <f>IF(L5=3,1,0)</f>
        <v>0</v>
      </c>
      <c r="L5">
        <f>VALUE(LEFT(M5,1))</f>
        <v>1</v>
      </c>
      <c r="M5" t="s">
        <v>415</v>
      </c>
      <c r="N5" t="s">
        <v>416</v>
      </c>
      <c r="O5" t="s">
        <v>417</v>
      </c>
    </row>
    <row r="6" spans="1:15">
      <c r="B6">
        <v>18</v>
      </c>
      <c r="C6">
        <v>8</v>
      </c>
      <c r="D6">
        <v>318</v>
      </c>
      <c r="E6">
        <v>150</v>
      </c>
      <c r="F6">
        <v>3436</v>
      </c>
      <c r="G6">
        <v>11</v>
      </c>
      <c r="H6">
        <v>70</v>
      </c>
      <c r="I6">
        <f>IF(L6=1,1,0)</f>
        <v>1</v>
      </c>
      <c r="J6">
        <f>IF(L6=2,1,0)</f>
        <v>0</v>
      </c>
      <c r="K6">
        <f>IF(L6=3,1,0)</f>
        <v>0</v>
      </c>
      <c r="L6">
        <f>VALUE(LEFT(M6,1))</f>
        <v>1</v>
      </c>
      <c r="M6" t="s">
        <v>418</v>
      </c>
      <c r="N6" t="s">
        <v>419</v>
      </c>
    </row>
    <row r="7" spans="1:15">
      <c r="B7">
        <v>16</v>
      </c>
      <c r="C7">
        <v>8</v>
      </c>
      <c r="D7">
        <v>304</v>
      </c>
      <c r="E7">
        <v>150</v>
      </c>
      <c r="F7">
        <v>3433</v>
      </c>
      <c r="G7">
        <v>12</v>
      </c>
      <c r="H7">
        <v>70</v>
      </c>
      <c r="I7">
        <f>IF(L7=1,1,0)</f>
        <v>1</v>
      </c>
      <c r="J7">
        <f>IF(L7=2,1,0)</f>
        <v>0</v>
      </c>
      <c r="K7">
        <f>IF(L7=3,1,0)</f>
        <v>0</v>
      </c>
      <c r="L7">
        <f>VALUE(LEFT(M7,1))</f>
        <v>1</v>
      </c>
      <c r="M7" t="s">
        <v>420</v>
      </c>
      <c r="N7" t="s">
        <v>421</v>
      </c>
      <c r="O7" t="s">
        <v>422</v>
      </c>
    </row>
    <row r="8" spans="1:15">
      <c r="B8">
        <v>17</v>
      </c>
      <c r="C8">
        <v>8</v>
      </c>
      <c r="D8">
        <v>302</v>
      </c>
      <c r="E8">
        <v>140</v>
      </c>
      <c r="F8">
        <v>3449</v>
      </c>
      <c r="G8">
        <v>10.5</v>
      </c>
      <c r="H8">
        <v>70</v>
      </c>
      <c r="I8">
        <f>IF(L8=1,1,0)</f>
        <v>1</v>
      </c>
      <c r="J8">
        <f>IF(L8=2,1,0)</f>
        <v>0</v>
      </c>
      <c r="K8">
        <f>IF(L8=3,1,0)</f>
        <v>0</v>
      </c>
      <c r="L8">
        <f>VALUE(LEFT(M8,1))</f>
        <v>1</v>
      </c>
      <c r="M8" t="s">
        <v>423</v>
      </c>
      <c r="N8" t="s">
        <v>424</v>
      </c>
    </row>
    <row r="9" spans="1:15">
      <c r="B9">
        <v>15</v>
      </c>
      <c r="C9">
        <v>8</v>
      </c>
      <c r="D9">
        <v>429</v>
      </c>
      <c r="E9">
        <v>198</v>
      </c>
      <c r="F9">
        <v>4341</v>
      </c>
      <c r="G9">
        <v>10</v>
      </c>
      <c r="H9">
        <v>70</v>
      </c>
      <c r="I9">
        <f>IF(L9=1,1,0)</f>
        <v>1</v>
      </c>
      <c r="J9">
        <f>IF(L9=2,1,0)</f>
        <v>0</v>
      </c>
      <c r="K9">
        <f>IF(L9=3,1,0)</f>
        <v>0</v>
      </c>
      <c r="L9">
        <f>VALUE(LEFT(M9,1))</f>
        <v>1</v>
      </c>
      <c r="M9" t="s">
        <v>423</v>
      </c>
      <c r="N9" t="s">
        <v>425</v>
      </c>
      <c r="O9" t="s">
        <v>426</v>
      </c>
    </row>
    <row r="10" spans="1:15">
      <c r="B10">
        <v>14</v>
      </c>
      <c r="C10">
        <v>8</v>
      </c>
      <c r="D10">
        <v>454</v>
      </c>
      <c r="E10">
        <v>220</v>
      </c>
      <c r="F10">
        <v>4354</v>
      </c>
      <c r="G10">
        <v>9</v>
      </c>
      <c r="H10">
        <v>70</v>
      </c>
      <c r="I10">
        <f>IF(L10=1,1,0)</f>
        <v>1</v>
      </c>
      <c r="J10">
        <f>IF(L10=2,1,0)</f>
        <v>0</v>
      </c>
      <c r="K10">
        <f>IF(L10=3,1,0)</f>
        <v>0</v>
      </c>
      <c r="L10">
        <f>VALUE(LEFT(M10,1))</f>
        <v>1</v>
      </c>
      <c r="M10" t="s">
        <v>412</v>
      </c>
      <c r="N10" t="s">
        <v>427</v>
      </c>
    </row>
    <row r="11" spans="1:15">
      <c r="B11">
        <v>14</v>
      </c>
      <c r="C11">
        <v>8</v>
      </c>
      <c r="D11">
        <v>440</v>
      </c>
      <c r="E11">
        <v>215</v>
      </c>
      <c r="F11">
        <v>4312</v>
      </c>
      <c r="G11">
        <v>8.5</v>
      </c>
      <c r="H11">
        <v>70</v>
      </c>
      <c r="I11">
        <f>IF(L11=1,1,0)</f>
        <v>1</v>
      </c>
      <c r="J11">
        <f>IF(L11=2,1,0)</f>
        <v>0</v>
      </c>
      <c r="K11">
        <f>IF(L11=3,1,0)</f>
        <v>0</v>
      </c>
      <c r="L11">
        <f>VALUE(LEFT(M11,1))</f>
        <v>1</v>
      </c>
      <c r="M11" t="s">
        <v>418</v>
      </c>
      <c r="N11" t="s">
        <v>428</v>
      </c>
      <c r="O11" t="s">
        <v>429</v>
      </c>
    </row>
    <row r="12" spans="1:15">
      <c r="B12">
        <v>14</v>
      </c>
      <c r="C12">
        <v>8</v>
      </c>
      <c r="D12">
        <v>455</v>
      </c>
      <c r="E12">
        <v>225</v>
      </c>
      <c r="F12">
        <v>4425</v>
      </c>
      <c r="G12">
        <v>10</v>
      </c>
      <c r="H12">
        <v>70</v>
      </c>
      <c r="I12">
        <f>IF(L12=1,1,0)</f>
        <v>1</v>
      </c>
      <c r="J12">
        <f>IF(L12=2,1,0)</f>
        <v>0</v>
      </c>
      <c r="K12">
        <f>IF(L12=3,1,0)</f>
        <v>0</v>
      </c>
      <c r="L12">
        <f>VALUE(LEFT(M12,1))</f>
        <v>1</v>
      </c>
      <c r="M12" t="s">
        <v>430</v>
      </c>
      <c r="N12" t="s">
        <v>431</v>
      </c>
    </row>
    <row r="13" spans="1:15">
      <c r="B13">
        <v>15</v>
      </c>
      <c r="C13">
        <v>8</v>
      </c>
      <c r="D13">
        <v>390</v>
      </c>
      <c r="E13">
        <v>190</v>
      </c>
      <c r="F13">
        <v>3850</v>
      </c>
      <c r="G13">
        <v>8.5</v>
      </c>
      <c r="H13">
        <v>70</v>
      </c>
      <c r="I13">
        <f>IF(L13=1,1,0)</f>
        <v>1</v>
      </c>
      <c r="J13">
        <f>IF(L13=2,1,0)</f>
        <v>0</v>
      </c>
      <c r="K13">
        <f>IF(L13=3,1,0)</f>
        <v>0</v>
      </c>
      <c r="L13">
        <f>VALUE(LEFT(M13,1))</f>
        <v>1</v>
      </c>
      <c r="M13" t="s">
        <v>420</v>
      </c>
      <c r="N13" t="s">
        <v>432</v>
      </c>
      <c r="O13" t="s">
        <v>433</v>
      </c>
    </row>
    <row r="14" spans="1:15">
      <c r="B14">
        <v>15</v>
      </c>
      <c r="C14">
        <v>8</v>
      </c>
      <c r="D14">
        <v>383</v>
      </c>
      <c r="E14">
        <v>170</v>
      </c>
      <c r="F14">
        <v>3563</v>
      </c>
      <c r="G14">
        <v>10</v>
      </c>
      <c r="H14">
        <v>70</v>
      </c>
      <c r="I14">
        <f>IF(L14=1,1,0)</f>
        <v>1</v>
      </c>
      <c r="J14">
        <f>IF(L14=2,1,0)</f>
        <v>0</v>
      </c>
      <c r="K14">
        <f>IF(L14=3,1,0)</f>
        <v>0</v>
      </c>
      <c r="L14">
        <f>VALUE(LEFT(M14,1))</f>
        <v>1</v>
      </c>
      <c r="M14" t="s">
        <v>434</v>
      </c>
      <c r="N14" t="s">
        <v>435</v>
      </c>
      <c r="O14" t="s">
        <v>436</v>
      </c>
    </row>
    <row r="15" spans="1:15">
      <c r="B15">
        <v>14</v>
      </c>
      <c r="C15">
        <v>8</v>
      </c>
      <c r="D15">
        <v>340</v>
      </c>
      <c r="E15">
        <v>160</v>
      </c>
      <c r="F15">
        <v>3609</v>
      </c>
      <c r="G15">
        <v>8</v>
      </c>
      <c r="H15">
        <v>70</v>
      </c>
      <c r="I15">
        <f>IF(L15=1,1,0)</f>
        <v>1</v>
      </c>
      <c r="J15">
        <f>IF(L15=2,1,0)</f>
        <v>0</v>
      </c>
      <c r="K15">
        <f>IF(L15=3,1,0)</f>
        <v>0</v>
      </c>
      <c r="L15">
        <f>VALUE(LEFT(M15,1))</f>
        <v>1</v>
      </c>
      <c r="M15" t="s">
        <v>418</v>
      </c>
      <c r="N15" s="3" t="s">
        <v>437</v>
      </c>
      <c r="O15" t="s">
        <v>438</v>
      </c>
    </row>
    <row r="16" spans="1:15">
      <c r="B16">
        <v>15</v>
      </c>
      <c r="C16">
        <v>8</v>
      </c>
      <c r="D16">
        <v>400</v>
      </c>
      <c r="E16">
        <v>150</v>
      </c>
      <c r="F16">
        <v>3761</v>
      </c>
      <c r="G16">
        <v>9.5</v>
      </c>
      <c r="H16">
        <v>70</v>
      </c>
      <c r="I16">
        <f>IF(L16=1,1,0)</f>
        <v>1</v>
      </c>
      <c r="J16">
        <f>IF(L16=2,1,0)</f>
        <v>0</v>
      </c>
      <c r="K16">
        <f>IF(L16=3,1,0)</f>
        <v>0</v>
      </c>
      <c r="L16">
        <f>VALUE(LEFT(M16,1))</f>
        <v>1</v>
      </c>
      <c r="M16" t="s">
        <v>412</v>
      </c>
      <c r="N16" t="s">
        <v>439</v>
      </c>
      <c r="O16" t="s">
        <v>440</v>
      </c>
    </row>
    <row r="17" spans="2:16">
      <c r="B17">
        <v>14</v>
      </c>
      <c r="C17">
        <v>8</v>
      </c>
      <c r="D17">
        <v>455</v>
      </c>
      <c r="E17">
        <v>225</v>
      </c>
      <c r="F17">
        <v>3086</v>
      </c>
      <c r="G17">
        <v>10</v>
      </c>
      <c r="H17">
        <v>70</v>
      </c>
      <c r="I17">
        <f>IF(L17=1,1,0)</f>
        <v>1</v>
      </c>
      <c r="J17">
        <f>IF(L17=2,1,0)</f>
        <v>0</v>
      </c>
      <c r="K17">
        <f>IF(L17=3,1,0)</f>
        <v>0</v>
      </c>
      <c r="L17">
        <f>VALUE(LEFT(M17,1))</f>
        <v>1</v>
      </c>
      <c r="M17" t="s">
        <v>415</v>
      </c>
      <c r="N17" t="s">
        <v>441</v>
      </c>
      <c r="O17" t="s">
        <v>442</v>
      </c>
      <c r="P17" t="s">
        <v>443</v>
      </c>
    </row>
    <row r="18" spans="2:16">
      <c r="B18">
        <v>24</v>
      </c>
      <c r="C18">
        <v>4</v>
      </c>
      <c r="D18">
        <v>113</v>
      </c>
      <c r="E18">
        <v>95</v>
      </c>
      <c r="F18">
        <v>2372</v>
      </c>
      <c r="G18">
        <v>15</v>
      </c>
      <c r="H18">
        <v>70</v>
      </c>
      <c r="I18">
        <f>IF(L18=1,1,0)</f>
        <v>0</v>
      </c>
      <c r="J18">
        <f>IF(L18=2,1,0)</f>
        <v>0</v>
      </c>
      <c r="K18">
        <f>IF(L18=3,1,0)</f>
        <v>1</v>
      </c>
      <c r="L18">
        <f>VALUE(LEFT(M18,1))</f>
        <v>3</v>
      </c>
      <c r="M18" t="s">
        <v>444</v>
      </c>
      <c r="N18" t="s">
        <v>445</v>
      </c>
      <c r="O18" t="s">
        <v>446</v>
      </c>
      <c r="P18" t="s">
        <v>447</v>
      </c>
    </row>
    <row r="19" spans="2:16">
      <c r="B19">
        <v>22</v>
      </c>
      <c r="C19">
        <v>6</v>
      </c>
      <c r="D19">
        <v>198</v>
      </c>
      <c r="E19">
        <v>95</v>
      </c>
      <c r="F19">
        <v>2833</v>
      </c>
      <c r="G19">
        <v>15.5</v>
      </c>
      <c r="H19">
        <v>70</v>
      </c>
      <c r="I19">
        <f>IF(L19=1,1,0)</f>
        <v>1</v>
      </c>
      <c r="J19">
        <f>IF(L19=2,1,0)</f>
        <v>0</v>
      </c>
      <c r="K19">
        <f>IF(L19=3,1,0)</f>
        <v>0</v>
      </c>
      <c r="L19">
        <f>VALUE(LEFT(M19,1))</f>
        <v>1</v>
      </c>
      <c r="M19" t="s">
        <v>418</v>
      </c>
      <c r="N19" t="s">
        <v>448</v>
      </c>
    </row>
    <row r="20" spans="2:16">
      <c r="B20">
        <v>18</v>
      </c>
      <c r="C20">
        <v>6</v>
      </c>
      <c r="D20">
        <v>199</v>
      </c>
      <c r="E20">
        <v>97</v>
      </c>
      <c r="F20">
        <v>2774</v>
      </c>
      <c r="G20">
        <v>15.5</v>
      </c>
      <c r="H20">
        <v>70</v>
      </c>
      <c r="I20">
        <f>IF(L20=1,1,0)</f>
        <v>1</v>
      </c>
      <c r="J20">
        <f>IF(L20=2,1,0)</f>
        <v>0</v>
      </c>
      <c r="K20">
        <f>IF(L20=3,1,0)</f>
        <v>0</v>
      </c>
      <c r="L20">
        <f>VALUE(LEFT(M20,1))</f>
        <v>1</v>
      </c>
      <c r="M20" t="s">
        <v>420</v>
      </c>
      <c r="N20" t="s">
        <v>449</v>
      </c>
    </row>
    <row r="21" spans="2:16">
      <c r="B21">
        <v>21</v>
      </c>
      <c r="C21">
        <v>6</v>
      </c>
      <c r="D21">
        <v>200</v>
      </c>
      <c r="E21">
        <v>85</v>
      </c>
      <c r="F21">
        <v>2587</v>
      </c>
      <c r="G21">
        <v>16</v>
      </c>
      <c r="H21">
        <v>70</v>
      </c>
      <c r="I21">
        <f>IF(L21=1,1,0)</f>
        <v>1</v>
      </c>
      <c r="J21">
        <f>IF(L21=2,1,0)</f>
        <v>0</v>
      </c>
      <c r="K21">
        <f>IF(L21=3,1,0)</f>
        <v>0</v>
      </c>
      <c r="L21">
        <f>VALUE(LEFT(M21,1))</f>
        <v>1</v>
      </c>
      <c r="M21" t="s">
        <v>423</v>
      </c>
      <c r="N21" t="s">
        <v>450</v>
      </c>
    </row>
    <row r="22" spans="2:16">
      <c r="B22">
        <v>27</v>
      </c>
      <c r="C22">
        <v>4</v>
      </c>
      <c r="D22">
        <v>97</v>
      </c>
      <c r="E22">
        <v>88</v>
      </c>
      <c r="F22">
        <v>2130</v>
      </c>
      <c r="G22">
        <v>14.5</v>
      </c>
      <c r="H22">
        <v>70</v>
      </c>
      <c r="I22">
        <f>IF(L22=1,1,0)</f>
        <v>0</v>
      </c>
      <c r="J22">
        <f>IF(L22=2,1,0)</f>
        <v>0</v>
      </c>
      <c r="K22">
        <f>IF(L22=3,1,0)</f>
        <v>1</v>
      </c>
      <c r="L22">
        <f>VALUE(LEFT(M22,1))</f>
        <v>3</v>
      </c>
      <c r="M22" t="s">
        <v>451</v>
      </c>
      <c r="N22" t="s">
        <v>452</v>
      </c>
    </row>
    <row r="23" spans="2:16">
      <c r="B23">
        <v>26</v>
      </c>
      <c r="C23">
        <v>4</v>
      </c>
      <c r="D23">
        <v>97</v>
      </c>
      <c r="E23">
        <v>46</v>
      </c>
      <c r="F23">
        <v>1835</v>
      </c>
      <c r="G23">
        <v>20.5</v>
      </c>
      <c r="H23">
        <v>70</v>
      </c>
      <c r="I23">
        <f>IF(L23=1,1,0)</f>
        <v>0</v>
      </c>
      <c r="J23">
        <f>IF(L23=2,1,0)</f>
        <v>1</v>
      </c>
      <c r="K23">
        <f>IF(L23=3,1,0)</f>
        <v>0</v>
      </c>
      <c r="L23">
        <f>VALUE(LEFT(M23,1))</f>
        <v>2</v>
      </c>
      <c r="M23" t="s">
        <v>453</v>
      </c>
      <c r="N23">
        <v>1131</v>
      </c>
      <c r="O23" t="s">
        <v>454</v>
      </c>
      <c r="P23" t="s">
        <v>455</v>
      </c>
    </row>
    <row r="24" spans="2:16">
      <c r="B24">
        <v>25</v>
      </c>
      <c r="C24">
        <v>4</v>
      </c>
      <c r="D24">
        <v>110</v>
      </c>
      <c r="E24">
        <v>87</v>
      </c>
      <c r="F24">
        <v>2672</v>
      </c>
      <c r="G24">
        <v>17.5</v>
      </c>
      <c r="H24">
        <v>70</v>
      </c>
      <c r="I24">
        <f>IF(L24=1,1,0)</f>
        <v>0</v>
      </c>
      <c r="J24">
        <f>IF(L24=2,1,0)</f>
        <v>1</v>
      </c>
      <c r="K24">
        <f>IF(L24=3,1,0)</f>
        <v>0</v>
      </c>
      <c r="L24">
        <f>VALUE(LEFT(M24,1))</f>
        <v>2</v>
      </c>
      <c r="M24" t="s">
        <v>456</v>
      </c>
      <c r="N24" t="s">
        <v>457</v>
      </c>
    </row>
    <row r="25" spans="2:16">
      <c r="B25">
        <v>24</v>
      </c>
      <c r="C25">
        <v>4</v>
      </c>
      <c r="D25">
        <v>107</v>
      </c>
      <c r="E25">
        <v>90</v>
      </c>
      <c r="F25">
        <v>2430</v>
      </c>
      <c r="G25">
        <v>14.5</v>
      </c>
      <c r="H25">
        <v>70</v>
      </c>
      <c r="I25">
        <f>IF(L25=1,1,0)</f>
        <v>0</v>
      </c>
      <c r="J25">
        <f>IF(L25=2,1,0)</f>
        <v>1</v>
      </c>
      <c r="K25">
        <f>IF(L25=3,1,0)</f>
        <v>0</v>
      </c>
      <c r="L25">
        <f>VALUE(LEFT(M25,1))</f>
        <v>2</v>
      </c>
      <c r="M25" t="s">
        <v>458</v>
      </c>
      <c r="N25">
        <v>100</v>
      </c>
      <c r="O25" t="s">
        <v>459</v>
      </c>
    </row>
    <row r="26" spans="2:16">
      <c r="B26">
        <v>25</v>
      </c>
      <c r="C26">
        <v>4</v>
      </c>
      <c r="D26">
        <v>104</v>
      </c>
      <c r="E26">
        <v>95</v>
      </c>
      <c r="F26">
        <v>2375</v>
      </c>
      <c r="G26">
        <v>17.5</v>
      </c>
      <c r="H26">
        <v>70</v>
      </c>
      <c r="I26">
        <f>IF(L26=1,1,0)</f>
        <v>0</v>
      </c>
      <c r="J26">
        <f>IF(L26=2,1,0)</f>
        <v>1</v>
      </c>
      <c r="K26">
        <f>IF(L26=3,1,0)</f>
        <v>0</v>
      </c>
      <c r="L26">
        <f>VALUE(LEFT(M26,1))</f>
        <v>2</v>
      </c>
      <c r="M26" t="s">
        <v>460</v>
      </c>
      <c r="N26" t="s">
        <v>461</v>
      </c>
    </row>
    <row r="27" spans="2:16">
      <c r="B27">
        <v>26</v>
      </c>
      <c r="C27">
        <v>4</v>
      </c>
      <c r="D27">
        <v>121</v>
      </c>
      <c r="E27">
        <v>113</v>
      </c>
      <c r="F27">
        <v>2234</v>
      </c>
      <c r="G27">
        <v>12.5</v>
      </c>
      <c r="H27">
        <v>70</v>
      </c>
      <c r="I27">
        <f>IF(L27=1,1,0)</f>
        <v>0</v>
      </c>
      <c r="J27">
        <f>IF(L27=2,1,0)</f>
        <v>1</v>
      </c>
      <c r="K27">
        <f>IF(L27=3,1,0)</f>
        <v>0</v>
      </c>
      <c r="L27">
        <f>VALUE(LEFT(M27,1))</f>
        <v>2</v>
      </c>
      <c r="M27" t="s">
        <v>462</v>
      </c>
      <c r="N27" t="s">
        <v>463</v>
      </c>
    </row>
    <row r="28" spans="2:16">
      <c r="B28">
        <v>21</v>
      </c>
      <c r="C28">
        <v>6</v>
      </c>
      <c r="D28">
        <v>199</v>
      </c>
      <c r="E28">
        <v>90</v>
      </c>
      <c r="F28">
        <v>2648</v>
      </c>
      <c r="G28">
        <v>15</v>
      </c>
      <c r="H28">
        <v>70</v>
      </c>
      <c r="I28">
        <f>IF(L28=1,1,0)</f>
        <v>1</v>
      </c>
      <c r="J28">
        <f>IF(L28=2,1,0)</f>
        <v>0</v>
      </c>
      <c r="K28">
        <f>IF(L28=3,1,0)</f>
        <v>0</v>
      </c>
      <c r="L28">
        <f>VALUE(LEFT(M28,1))</f>
        <v>1</v>
      </c>
      <c r="M28" t="s">
        <v>420</v>
      </c>
      <c r="N28" t="s">
        <v>464</v>
      </c>
    </row>
    <row r="29" spans="2:16">
      <c r="B29">
        <v>10</v>
      </c>
      <c r="C29">
        <v>8</v>
      </c>
      <c r="D29">
        <v>360</v>
      </c>
      <c r="E29">
        <v>215</v>
      </c>
      <c r="F29">
        <v>4615</v>
      </c>
      <c r="G29">
        <v>14</v>
      </c>
      <c r="H29">
        <v>70</v>
      </c>
      <c r="I29">
        <f>IF(L29=1,1,0)</f>
        <v>1</v>
      </c>
      <c r="J29">
        <f>IF(L29=2,1,0)</f>
        <v>0</v>
      </c>
      <c r="K29">
        <f>IF(L29=3,1,0)</f>
        <v>0</v>
      </c>
      <c r="L29">
        <f>VALUE(LEFT(M29,1))</f>
        <v>1</v>
      </c>
      <c r="M29" t="s">
        <v>423</v>
      </c>
      <c r="N29" t="s">
        <v>465</v>
      </c>
    </row>
    <row r="30" spans="2:16">
      <c r="B30" s="2">
        <v>10</v>
      </c>
      <c r="C30">
        <v>8</v>
      </c>
      <c r="D30">
        <v>307</v>
      </c>
      <c r="E30">
        <v>200</v>
      </c>
      <c r="F30">
        <v>4376</v>
      </c>
      <c r="G30">
        <v>15</v>
      </c>
      <c r="H30">
        <v>70</v>
      </c>
      <c r="I30">
        <f>IF(L30=1,1,0)</f>
        <v>1</v>
      </c>
      <c r="J30">
        <f>IF(L30=2,1,0)</f>
        <v>0</v>
      </c>
      <c r="K30">
        <f>IF(L30=3,1,0)</f>
        <v>0</v>
      </c>
      <c r="L30">
        <f>VALUE(LEFT(M30,1))</f>
        <v>1</v>
      </c>
      <c r="M30" t="s">
        <v>466</v>
      </c>
      <c r="N30" t="s">
        <v>467</v>
      </c>
    </row>
    <row r="31" spans="2:16">
      <c r="B31" s="2">
        <v>11</v>
      </c>
      <c r="C31">
        <v>8</v>
      </c>
      <c r="D31">
        <v>318</v>
      </c>
      <c r="E31">
        <v>210</v>
      </c>
      <c r="F31">
        <v>4382</v>
      </c>
      <c r="G31">
        <v>13.5</v>
      </c>
      <c r="H31">
        <v>70</v>
      </c>
      <c r="I31">
        <f>IF(L31=1,1,0)</f>
        <v>1</v>
      </c>
      <c r="J31">
        <f>IF(L31=2,1,0)</f>
        <v>0</v>
      </c>
      <c r="K31">
        <f>IF(L31=3,1,0)</f>
        <v>0</v>
      </c>
      <c r="L31">
        <f>VALUE(LEFT(M31,1))</f>
        <v>1</v>
      </c>
      <c r="M31" t="s">
        <v>434</v>
      </c>
      <c r="N31" t="s">
        <v>468</v>
      </c>
    </row>
    <row r="32" spans="2:16">
      <c r="B32" s="2">
        <v>9</v>
      </c>
      <c r="C32">
        <v>8</v>
      </c>
      <c r="D32">
        <v>304</v>
      </c>
      <c r="E32">
        <v>193</v>
      </c>
      <c r="F32">
        <v>4732</v>
      </c>
      <c r="G32">
        <v>18.5</v>
      </c>
      <c r="H32">
        <v>70</v>
      </c>
      <c r="I32">
        <f>IF(L32=1,1,0)</f>
        <v>1</v>
      </c>
      <c r="J32">
        <f>IF(L32=2,1,0)</f>
        <v>0</v>
      </c>
      <c r="K32">
        <f>IF(L32=3,1,0)</f>
        <v>0</v>
      </c>
      <c r="L32">
        <f>VALUE(LEFT(M32,1))</f>
        <v>1</v>
      </c>
      <c r="M32" t="s">
        <v>469</v>
      </c>
      <c r="N32" t="s">
        <v>470</v>
      </c>
    </row>
    <row r="33" spans="2:16">
      <c r="B33">
        <v>27</v>
      </c>
      <c r="C33">
        <v>4</v>
      </c>
      <c r="D33">
        <v>97</v>
      </c>
      <c r="E33">
        <v>88</v>
      </c>
      <c r="F33">
        <v>2130</v>
      </c>
      <c r="G33">
        <v>14.5</v>
      </c>
      <c r="H33">
        <v>71</v>
      </c>
      <c r="I33">
        <f>IF(L33=1,1,0)</f>
        <v>0</v>
      </c>
      <c r="J33">
        <f>IF(L33=2,1,0)</f>
        <v>0</v>
      </c>
      <c r="K33">
        <f>IF(L33=3,1,0)</f>
        <v>1</v>
      </c>
      <c r="L33">
        <f>VALUE(LEFT(M33,1))</f>
        <v>3</v>
      </c>
      <c r="M33" t="s">
        <v>451</v>
      </c>
      <c r="N33" t="s">
        <v>452</v>
      </c>
    </row>
    <row r="34" spans="2:16">
      <c r="B34">
        <v>28</v>
      </c>
      <c r="C34">
        <v>4</v>
      </c>
      <c r="D34">
        <v>140</v>
      </c>
      <c r="E34">
        <v>90</v>
      </c>
      <c r="F34">
        <v>2264</v>
      </c>
      <c r="G34">
        <v>15.5</v>
      </c>
      <c r="H34">
        <v>71</v>
      </c>
      <c r="I34">
        <f>IF(L34=1,1,0)</f>
        <v>1</v>
      </c>
      <c r="J34">
        <f>IF(L34=2,1,0)</f>
        <v>0</v>
      </c>
      <c r="K34">
        <f>IF(L34=3,1,0)</f>
        <v>0</v>
      </c>
      <c r="L34">
        <f>VALUE(LEFT(M34,1))</f>
        <v>1</v>
      </c>
      <c r="M34" t="s">
        <v>412</v>
      </c>
      <c r="N34" t="s">
        <v>471</v>
      </c>
      <c r="O34" t="s">
        <v>472</v>
      </c>
    </row>
    <row r="35" spans="2:16">
      <c r="B35">
        <v>25</v>
      </c>
      <c r="C35">
        <v>4</v>
      </c>
      <c r="D35">
        <v>113</v>
      </c>
      <c r="E35">
        <v>95</v>
      </c>
      <c r="F35">
        <v>2228</v>
      </c>
      <c r="G35">
        <v>14</v>
      </c>
      <c r="H35">
        <v>71</v>
      </c>
      <c r="I35">
        <f>IF(L35=1,1,0)</f>
        <v>0</v>
      </c>
      <c r="J35">
        <f>IF(L35=2,1,0)</f>
        <v>0</v>
      </c>
      <c r="K35">
        <f>IF(L35=3,1,0)</f>
        <v>1</v>
      </c>
      <c r="L35">
        <f>VALUE(LEFT(M35,1))</f>
        <v>3</v>
      </c>
      <c r="M35" t="s">
        <v>444</v>
      </c>
      <c r="N35" t="s">
        <v>473</v>
      </c>
    </row>
    <row r="36" spans="2:16">
      <c r="B36">
        <v>25</v>
      </c>
      <c r="C36">
        <v>4</v>
      </c>
      <c r="D36">
        <v>98</v>
      </c>
      <c r="E36" t="s">
        <v>474</v>
      </c>
      <c r="F36">
        <v>2046</v>
      </c>
      <c r="G36">
        <v>19</v>
      </c>
      <c r="H36">
        <v>71</v>
      </c>
      <c r="I36">
        <f>IF(L36=1,1,0)</f>
        <v>1</v>
      </c>
      <c r="J36">
        <f>IF(L36=2,1,0)</f>
        <v>0</v>
      </c>
      <c r="K36">
        <f>IF(L36=3,1,0)</f>
        <v>0</v>
      </c>
      <c r="L36">
        <f>VALUE(LEFT(M36,1))</f>
        <v>1</v>
      </c>
      <c r="M36" t="s">
        <v>423</v>
      </c>
      <c r="N36" t="s">
        <v>475</v>
      </c>
    </row>
    <row r="37" spans="2:16">
      <c r="B37">
        <v>19</v>
      </c>
      <c r="C37">
        <v>6</v>
      </c>
      <c r="D37">
        <v>232</v>
      </c>
      <c r="E37">
        <v>100</v>
      </c>
      <c r="F37">
        <v>2634</v>
      </c>
      <c r="G37">
        <v>13</v>
      </c>
      <c r="H37">
        <v>71</v>
      </c>
      <c r="I37">
        <f>IF(L37=1,1,0)</f>
        <v>1</v>
      </c>
      <c r="J37">
        <f>IF(L37=2,1,0)</f>
        <v>0</v>
      </c>
      <c r="K37">
        <f>IF(L37=3,1,0)</f>
        <v>0</v>
      </c>
      <c r="L37">
        <f>VALUE(LEFT(M37,1))</f>
        <v>1</v>
      </c>
      <c r="M37" t="s">
        <v>420</v>
      </c>
      <c r="N37" t="s">
        <v>464</v>
      </c>
    </row>
    <row r="38" spans="2:16">
      <c r="B38">
        <v>16</v>
      </c>
      <c r="C38">
        <v>6</v>
      </c>
      <c r="D38">
        <v>225</v>
      </c>
      <c r="E38">
        <v>105</v>
      </c>
      <c r="F38">
        <v>3439</v>
      </c>
      <c r="G38">
        <v>15.5</v>
      </c>
      <c r="H38">
        <v>71</v>
      </c>
      <c r="I38">
        <f>IF(L38=1,1,0)</f>
        <v>1</v>
      </c>
      <c r="J38">
        <f>IF(L38=2,1,0)</f>
        <v>0</v>
      </c>
      <c r="K38">
        <f>IF(L38=3,1,0)</f>
        <v>0</v>
      </c>
      <c r="L38">
        <f>VALUE(LEFT(M38,1))</f>
        <v>1</v>
      </c>
      <c r="M38" t="s">
        <v>418</v>
      </c>
      <c r="N38" t="s">
        <v>476</v>
      </c>
      <c r="O38" t="s">
        <v>477</v>
      </c>
    </row>
    <row r="39" spans="2:16">
      <c r="B39">
        <v>17</v>
      </c>
      <c r="C39">
        <v>6</v>
      </c>
      <c r="D39">
        <v>250</v>
      </c>
      <c r="E39">
        <v>100</v>
      </c>
      <c r="F39">
        <v>3329</v>
      </c>
      <c r="G39">
        <v>15.5</v>
      </c>
      <c r="H39">
        <v>71</v>
      </c>
      <c r="I39">
        <f>IF(L39=1,1,0)</f>
        <v>1</v>
      </c>
      <c r="J39">
        <f>IF(L39=2,1,0)</f>
        <v>0</v>
      </c>
      <c r="K39">
        <f>IF(L39=3,1,0)</f>
        <v>0</v>
      </c>
      <c r="L39">
        <f>VALUE(LEFT(M39,1))</f>
        <v>1</v>
      </c>
      <c r="M39" t="s">
        <v>412</v>
      </c>
      <c r="N39" t="s">
        <v>413</v>
      </c>
      <c r="O39" t="s">
        <v>414</v>
      </c>
    </row>
    <row r="40" spans="2:16">
      <c r="B40">
        <v>19</v>
      </c>
      <c r="C40">
        <v>6</v>
      </c>
      <c r="D40">
        <v>250</v>
      </c>
      <c r="E40">
        <v>88</v>
      </c>
      <c r="F40">
        <v>3302</v>
      </c>
      <c r="G40">
        <v>15.5</v>
      </c>
      <c r="H40">
        <v>71</v>
      </c>
      <c r="I40">
        <f>IF(L40=1,1,0)</f>
        <v>1</v>
      </c>
      <c r="J40">
        <f>IF(L40=2,1,0)</f>
        <v>0</v>
      </c>
      <c r="K40">
        <f>IF(L40=3,1,0)</f>
        <v>0</v>
      </c>
      <c r="L40">
        <f>VALUE(LEFT(M40,1))</f>
        <v>1</v>
      </c>
      <c r="M40" t="s">
        <v>423</v>
      </c>
      <c r="N40" t="s">
        <v>478</v>
      </c>
      <c r="O40" t="s">
        <v>426</v>
      </c>
    </row>
    <row r="41" spans="2:16">
      <c r="B41">
        <v>18</v>
      </c>
      <c r="C41">
        <v>6</v>
      </c>
      <c r="D41">
        <v>232</v>
      </c>
      <c r="E41">
        <v>100</v>
      </c>
      <c r="F41">
        <v>3288</v>
      </c>
      <c r="G41">
        <v>15.5</v>
      </c>
      <c r="H41">
        <v>71</v>
      </c>
      <c r="I41">
        <f>IF(L41=1,1,0)</f>
        <v>1</v>
      </c>
      <c r="J41">
        <f>IF(L41=2,1,0)</f>
        <v>0</v>
      </c>
      <c r="K41">
        <f>IF(L41=3,1,0)</f>
        <v>0</v>
      </c>
      <c r="L41">
        <f>VALUE(LEFT(M41,1))</f>
        <v>1</v>
      </c>
      <c r="M41" t="s">
        <v>420</v>
      </c>
      <c r="N41" t="s">
        <v>479</v>
      </c>
    </row>
    <row r="42" spans="2:16">
      <c r="B42">
        <v>14</v>
      </c>
      <c r="C42">
        <v>8</v>
      </c>
      <c r="D42">
        <v>350</v>
      </c>
      <c r="E42">
        <v>165</v>
      </c>
      <c r="F42">
        <v>4209</v>
      </c>
      <c r="G42">
        <v>12</v>
      </c>
      <c r="H42">
        <v>71</v>
      </c>
      <c r="I42">
        <f>IF(L42=1,1,0)</f>
        <v>1</v>
      </c>
      <c r="J42">
        <f>IF(L42=2,1,0)</f>
        <v>0</v>
      </c>
      <c r="K42">
        <f>IF(L42=3,1,0)</f>
        <v>0</v>
      </c>
      <c r="L42">
        <f>VALUE(LEFT(M42,1))</f>
        <v>1</v>
      </c>
      <c r="M42" t="s">
        <v>412</v>
      </c>
      <c r="N42" t="s">
        <v>427</v>
      </c>
    </row>
    <row r="43" spans="2:16">
      <c r="B43">
        <v>14</v>
      </c>
      <c r="C43">
        <v>8</v>
      </c>
      <c r="D43">
        <v>400</v>
      </c>
      <c r="E43">
        <v>175</v>
      </c>
      <c r="F43">
        <v>4464</v>
      </c>
      <c r="G43">
        <v>11.5</v>
      </c>
      <c r="H43">
        <v>71</v>
      </c>
      <c r="I43">
        <f>IF(L43=1,1,0)</f>
        <v>1</v>
      </c>
      <c r="J43">
        <f>IF(L43=2,1,0)</f>
        <v>0</v>
      </c>
      <c r="K43">
        <f>IF(L43=3,1,0)</f>
        <v>0</v>
      </c>
      <c r="L43">
        <f>VALUE(LEFT(M43,1))</f>
        <v>1</v>
      </c>
      <c r="M43" t="s">
        <v>430</v>
      </c>
      <c r="N43" t="s">
        <v>480</v>
      </c>
      <c r="O43" t="s">
        <v>481</v>
      </c>
    </row>
    <row r="44" spans="2:16">
      <c r="B44">
        <v>14</v>
      </c>
      <c r="C44">
        <v>8</v>
      </c>
      <c r="D44">
        <v>351</v>
      </c>
      <c r="E44">
        <v>153</v>
      </c>
      <c r="F44">
        <v>4154</v>
      </c>
      <c r="G44">
        <v>13.5</v>
      </c>
      <c r="H44">
        <v>71</v>
      </c>
      <c r="I44">
        <f>IF(L44=1,1,0)</f>
        <v>1</v>
      </c>
      <c r="J44">
        <f>IF(L44=2,1,0)</f>
        <v>0</v>
      </c>
      <c r="K44">
        <f>IF(L44=3,1,0)</f>
        <v>0</v>
      </c>
      <c r="L44">
        <f>VALUE(LEFT(M44,1))</f>
        <v>1</v>
      </c>
      <c r="M44" t="s">
        <v>423</v>
      </c>
      <c r="N44" t="s">
        <v>425</v>
      </c>
      <c r="O44" t="s">
        <v>426</v>
      </c>
    </row>
    <row r="45" spans="2:16">
      <c r="B45">
        <v>14</v>
      </c>
      <c r="C45">
        <v>8</v>
      </c>
      <c r="D45">
        <v>318</v>
      </c>
      <c r="E45">
        <v>150</v>
      </c>
      <c r="F45">
        <v>4096</v>
      </c>
      <c r="G45">
        <v>13</v>
      </c>
      <c r="H45">
        <v>71</v>
      </c>
      <c r="I45">
        <f>IF(L45=1,1,0)</f>
        <v>1</v>
      </c>
      <c r="J45">
        <f>IF(L45=2,1,0)</f>
        <v>0</v>
      </c>
      <c r="K45">
        <f>IF(L45=3,1,0)</f>
        <v>0</v>
      </c>
      <c r="L45">
        <f>VALUE(LEFT(M45,1))</f>
        <v>1</v>
      </c>
      <c r="M45" t="s">
        <v>418</v>
      </c>
      <c r="N45" t="s">
        <v>428</v>
      </c>
      <c r="O45" t="s">
        <v>429</v>
      </c>
    </row>
    <row r="46" spans="2:16">
      <c r="B46" s="2">
        <v>12</v>
      </c>
      <c r="C46">
        <v>8</v>
      </c>
      <c r="D46">
        <v>383</v>
      </c>
      <c r="E46">
        <v>180</v>
      </c>
      <c r="F46">
        <v>4955</v>
      </c>
      <c r="G46">
        <v>11.5</v>
      </c>
      <c r="H46">
        <v>71</v>
      </c>
      <c r="I46">
        <f>IF(L46=1,1,0)</f>
        <v>1</v>
      </c>
      <c r="J46">
        <f>IF(L46=2,1,0)</f>
        <v>0</v>
      </c>
      <c r="K46">
        <f>IF(L46=3,1,0)</f>
        <v>0</v>
      </c>
      <c r="L46">
        <f>VALUE(LEFT(M46,1))</f>
        <v>1</v>
      </c>
      <c r="M46" t="s">
        <v>434</v>
      </c>
      <c r="N46" t="s">
        <v>482</v>
      </c>
      <c r="O46" t="s">
        <v>443</v>
      </c>
    </row>
    <row r="47" spans="2:16">
      <c r="B47" s="2">
        <v>13</v>
      </c>
      <c r="C47">
        <v>8</v>
      </c>
      <c r="D47">
        <v>400</v>
      </c>
      <c r="E47">
        <v>170</v>
      </c>
      <c r="F47">
        <v>4746</v>
      </c>
      <c r="G47">
        <v>12</v>
      </c>
      <c r="H47">
        <v>71</v>
      </c>
      <c r="I47">
        <f>IF(L47=1,1,0)</f>
        <v>1</v>
      </c>
      <c r="J47">
        <f>IF(L47=2,1,0)</f>
        <v>0</v>
      </c>
      <c r="K47">
        <f>IF(L47=3,1,0)</f>
        <v>0</v>
      </c>
      <c r="L47">
        <f>VALUE(LEFT(M47,1))</f>
        <v>1</v>
      </c>
      <c r="M47" t="s">
        <v>423</v>
      </c>
      <c r="N47" t="s">
        <v>483</v>
      </c>
      <c r="O47" t="s">
        <v>484</v>
      </c>
      <c r="P47" t="s">
        <v>443</v>
      </c>
    </row>
    <row r="48" spans="2:16">
      <c r="B48" s="2">
        <v>13</v>
      </c>
      <c r="C48">
        <v>8</v>
      </c>
      <c r="D48">
        <v>400</v>
      </c>
      <c r="E48">
        <v>175</v>
      </c>
      <c r="F48">
        <v>5140</v>
      </c>
      <c r="G48">
        <v>12</v>
      </c>
      <c r="H48">
        <v>71</v>
      </c>
      <c r="I48">
        <f>IF(L48=1,1,0)</f>
        <v>1</v>
      </c>
      <c r="J48">
        <f>IF(L48=2,1,0)</f>
        <v>0</v>
      </c>
      <c r="K48">
        <f>IF(L48=3,1,0)</f>
        <v>0</v>
      </c>
      <c r="L48">
        <f>VALUE(LEFT(M48,1))</f>
        <v>1</v>
      </c>
      <c r="M48" t="s">
        <v>430</v>
      </c>
      <c r="N48" t="s">
        <v>485</v>
      </c>
      <c r="O48" t="s">
        <v>443</v>
      </c>
    </row>
    <row r="49" spans="2:16">
      <c r="B49">
        <v>18</v>
      </c>
      <c r="C49">
        <v>6</v>
      </c>
      <c r="D49">
        <v>258</v>
      </c>
      <c r="E49">
        <v>110</v>
      </c>
      <c r="F49">
        <v>2962</v>
      </c>
      <c r="G49">
        <v>13.5</v>
      </c>
      <c r="H49">
        <v>71</v>
      </c>
      <c r="I49">
        <f>IF(L49=1,1,0)</f>
        <v>1</v>
      </c>
      <c r="J49">
        <f>IF(L49=2,1,0)</f>
        <v>0</v>
      </c>
      <c r="K49">
        <f>IF(L49=3,1,0)</f>
        <v>0</v>
      </c>
      <c r="L49">
        <f>VALUE(LEFT(M49,1))</f>
        <v>1</v>
      </c>
      <c r="M49" t="s">
        <v>420</v>
      </c>
      <c r="N49" t="s">
        <v>486</v>
      </c>
      <c r="O49" t="s">
        <v>487</v>
      </c>
      <c r="P49" t="s">
        <v>443</v>
      </c>
    </row>
    <row r="50" spans="2:16">
      <c r="B50">
        <v>22</v>
      </c>
      <c r="C50">
        <v>4</v>
      </c>
      <c r="D50">
        <v>140</v>
      </c>
      <c r="E50">
        <v>72</v>
      </c>
      <c r="F50">
        <v>2408</v>
      </c>
      <c r="G50">
        <v>19</v>
      </c>
      <c r="H50">
        <v>71</v>
      </c>
      <c r="I50">
        <f>IF(L50=1,1,0)</f>
        <v>1</v>
      </c>
      <c r="J50">
        <f>IF(L50=2,1,0)</f>
        <v>0</v>
      </c>
      <c r="K50">
        <f>IF(L50=3,1,0)</f>
        <v>0</v>
      </c>
      <c r="L50">
        <f>VALUE(LEFT(M50,1))</f>
        <v>1</v>
      </c>
      <c r="M50" t="s">
        <v>412</v>
      </c>
      <c r="N50" t="s">
        <v>471</v>
      </c>
      <c r="O50" t="s">
        <v>443</v>
      </c>
    </row>
    <row r="51" spans="2:16">
      <c r="B51">
        <v>19</v>
      </c>
      <c r="C51">
        <v>6</v>
      </c>
      <c r="D51">
        <v>250</v>
      </c>
      <c r="E51">
        <v>100</v>
      </c>
      <c r="F51">
        <v>3282</v>
      </c>
      <c r="G51">
        <v>15</v>
      </c>
      <c r="H51">
        <v>71</v>
      </c>
      <c r="I51">
        <f>IF(L51=1,1,0)</f>
        <v>1</v>
      </c>
      <c r="J51">
        <f>IF(L51=2,1,0)</f>
        <v>0</v>
      </c>
      <c r="K51">
        <f>IF(L51=3,1,0)</f>
        <v>0</v>
      </c>
      <c r="L51">
        <f>VALUE(LEFT(M51,1))</f>
        <v>1</v>
      </c>
      <c r="M51" t="s">
        <v>430</v>
      </c>
      <c r="N51" t="s">
        <v>488</v>
      </c>
    </row>
    <row r="52" spans="2:16">
      <c r="B52">
        <v>18</v>
      </c>
      <c r="C52">
        <v>6</v>
      </c>
      <c r="D52">
        <v>250</v>
      </c>
      <c r="E52">
        <v>88</v>
      </c>
      <c r="F52">
        <v>3139</v>
      </c>
      <c r="G52">
        <v>14.5</v>
      </c>
      <c r="H52">
        <v>71</v>
      </c>
      <c r="I52">
        <f>IF(L52=1,1,0)</f>
        <v>1</v>
      </c>
      <c r="J52">
        <f>IF(L52=2,1,0)</f>
        <v>0</v>
      </c>
      <c r="K52">
        <f>IF(L52=3,1,0)</f>
        <v>0</v>
      </c>
      <c r="L52">
        <f>VALUE(LEFT(M52,1))</f>
        <v>1</v>
      </c>
      <c r="M52" t="s">
        <v>423</v>
      </c>
      <c r="N52" t="s">
        <v>489</v>
      </c>
    </row>
    <row r="53" spans="2:16">
      <c r="B53">
        <v>23</v>
      </c>
      <c r="C53">
        <v>4</v>
      </c>
      <c r="D53">
        <v>122</v>
      </c>
      <c r="E53">
        <v>86</v>
      </c>
      <c r="F53">
        <v>2220</v>
      </c>
      <c r="G53">
        <v>14</v>
      </c>
      <c r="H53">
        <v>71</v>
      </c>
      <c r="I53">
        <f>IF(L53=1,1,0)</f>
        <v>1</v>
      </c>
      <c r="J53">
        <f>IF(L53=2,1,0)</f>
        <v>0</v>
      </c>
      <c r="K53">
        <f>IF(L53=3,1,0)</f>
        <v>0</v>
      </c>
      <c r="L53">
        <f>VALUE(LEFT(M53,1))</f>
        <v>1</v>
      </c>
      <c r="M53" t="s">
        <v>490</v>
      </c>
      <c r="N53" t="s">
        <v>491</v>
      </c>
      <c r="O53" t="s">
        <v>492</v>
      </c>
    </row>
    <row r="54" spans="2:16">
      <c r="B54">
        <v>28</v>
      </c>
      <c r="C54">
        <v>4</v>
      </c>
      <c r="D54">
        <v>116</v>
      </c>
      <c r="E54">
        <v>90</v>
      </c>
      <c r="F54">
        <v>2123</v>
      </c>
      <c r="G54">
        <v>14</v>
      </c>
      <c r="H54">
        <v>71</v>
      </c>
      <c r="I54">
        <f>IF(L54=1,1,0)</f>
        <v>0</v>
      </c>
      <c r="J54">
        <f>IF(L54=2,1,0)</f>
        <v>1</v>
      </c>
      <c r="K54">
        <f>IF(L54=3,1,0)</f>
        <v>0</v>
      </c>
      <c r="L54">
        <f>VALUE(LEFT(M54,1))</f>
        <v>2</v>
      </c>
      <c r="M54" t="s">
        <v>493</v>
      </c>
      <c r="N54" t="s">
        <v>494</v>
      </c>
    </row>
    <row r="55" spans="2:16">
      <c r="B55">
        <v>30</v>
      </c>
      <c r="C55">
        <v>4</v>
      </c>
      <c r="D55">
        <v>79</v>
      </c>
      <c r="E55">
        <v>70</v>
      </c>
      <c r="F55">
        <v>2074</v>
      </c>
      <c r="G55">
        <v>19.5</v>
      </c>
      <c r="H55">
        <v>71</v>
      </c>
      <c r="I55">
        <f>IF(L55=1,1,0)</f>
        <v>0</v>
      </c>
      <c r="J55">
        <f>IF(L55=2,1,0)</f>
        <v>1</v>
      </c>
      <c r="K55">
        <f>IF(L55=3,1,0)</f>
        <v>0</v>
      </c>
      <c r="L55">
        <f>VALUE(LEFT(M55,1))</f>
        <v>2</v>
      </c>
      <c r="M55" t="s">
        <v>456</v>
      </c>
      <c r="N55" t="s">
        <v>495</v>
      </c>
    </row>
    <row r="56" spans="2:16">
      <c r="B56">
        <v>30</v>
      </c>
      <c r="C56">
        <v>4</v>
      </c>
      <c r="D56">
        <v>88</v>
      </c>
      <c r="E56">
        <v>76</v>
      </c>
      <c r="F56">
        <v>2065</v>
      </c>
      <c r="G56">
        <v>14.5</v>
      </c>
      <c r="H56">
        <v>71</v>
      </c>
      <c r="I56">
        <f>IF(L56=1,1,0)</f>
        <v>0</v>
      </c>
      <c r="J56">
        <f>IF(L56=2,1,0)</f>
        <v>1</v>
      </c>
      <c r="K56">
        <f>IF(L56=3,1,0)</f>
        <v>0</v>
      </c>
      <c r="L56">
        <f>VALUE(LEFT(M56,1))</f>
        <v>2</v>
      </c>
      <c r="M56" t="s">
        <v>496</v>
      </c>
      <c r="N56" t="s">
        <v>497</v>
      </c>
    </row>
    <row r="57" spans="2:16">
      <c r="B57">
        <v>31</v>
      </c>
      <c r="C57">
        <v>4</v>
      </c>
      <c r="D57">
        <v>71</v>
      </c>
      <c r="E57">
        <v>65</v>
      </c>
      <c r="F57">
        <v>1773</v>
      </c>
      <c r="G57">
        <v>19</v>
      </c>
      <c r="H57">
        <v>71</v>
      </c>
      <c r="I57">
        <f>IF(L57=1,1,0)</f>
        <v>0</v>
      </c>
      <c r="J57">
        <f>IF(L57=2,1,0)</f>
        <v>0</v>
      </c>
      <c r="K57">
        <f>IF(L57=3,1,0)</f>
        <v>1</v>
      </c>
      <c r="L57">
        <f>VALUE(LEFT(M57,1))</f>
        <v>3</v>
      </c>
      <c r="M57" t="s">
        <v>444</v>
      </c>
      <c r="N57" t="s">
        <v>498</v>
      </c>
      <c r="O57" t="s">
        <v>499</v>
      </c>
    </row>
    <row r="58" spans="2:16">
      <c r="B58">
        <v>35</v>
      </c>
      <c r="C58">
        <v>4</v>
      </c>
      <c r="D58">
        <v>72</v>
      </c>
      <c r="E58">
        <v>69</v>
      </c>
      <c r="F58">
        <v>1613</v>
      </c>
      <c r="G58">
        <v>18</v>
      </c>
      <c r="H58">
        <v>71</v>
      </c>
      <c r="I58">
        <f>IF(L58=1,1,0)</f>
        <v>0</v>
      </c>
      <c r="J58">
        <f>IF(L58=2,1,0)</f>
        <v>0</v>
      </c>
      <c r="K58">
        <f>IF(L58=3,1,0)</f>
        <v>1</v>
      </c>
      <c r="L58">
        <f>VALUE(LEFT(M58,1))</f>
        <v>3</v>
      </c>
      <c r="M58" t="s">
        <v>451</v>
      </c>
      <c r="N58" t="s">
        <v>499</v>
      </c>
    </row>
    <row r="59" spans="2:16">
      <c r="B59">
        <v>27</v>
      </c>
      <c r="C59">
        <v>4</v>
      </c>
      <c r="D59">
        <v>97</v>
      </c>
      <c r="E59">
        <v>60</v>
      </c>
      <c r="F59">
        <v>1834</v>
      </c>
      <c r="G59">
        <v>19</v>
      </c>
      <c r="H59">
        <v>71</v>
      </c>
      <c r="I59">
        <f>IF(L59=1,1,0)</f>
        <v>0</v>
      </c>
      <c r="J59">
        <f>IF(L59=2,1,0)</f>
        <v>1</v>
      </c>
      <c r="K59">
        <f>IF(L59=3,1,0)</f>
        <v>0</v>
      </c>
      <c r="L59">
        <f>VALUE(LEFT(M59,1))</f>
        <v>2</v>
      </c>
      <c r="M59" t="s">
        <v>453</v>
      </c>
      <c r="N59" t="s">
        <v>500</v>
      </c>
      <c r="O59" t="s">
        <v>501</v>
      </c>
    </row>
    <row r="60" spans="2:16">
      <c r="B60">
        <v>26</v>
      </c>
      <c r="C60">
        <v>4</v>
      </c>
      <c r="D60">
        <v>91</v>
      </c>
      <c r="E60">
        <v>70</v>
      </c>
      <c r="F60">
        <v>1955</v>
      </c>
      <c r="G60">
        <v>20.5</v>
      </c>
      <c r="H60">
        <v>71</v>
      </c>
      <c r="I60">
        <f>IF(L60=1,1,0)</f>
        <v>1</v>
      </c>
      <c r="J60">
        <f>IF(L60=2,1,0)</f>
        <v>0</v>
      </c>
      <c r="K60">
        <f>IF(L60=3,1,0)</f>
        <v>0</v>
      </c>
      <c r="L60">
        <f>VALUE(LEFT(M60,1))</f>
        <v>1</v>
      </c>
      <c r="M60" t="s">
        <v>418</v>
      </c>
      <c r="N60" t="s">
        <v>502</v>
      </c>
    </row>
    <row r="61" spans="2:16">
      <c r="B61">
        <v>24</v>
      </c>
      <c r="C61">
        <v>4</v>
      </c>
      <c r="D61">
        <v>113</v>
      </c>
      <c r="E61">
        <v>95</v>
      </c>
      <c r="F61">
        <v>2278</v>
      </c>
      <c r="G61">
        <v>15.5</v>
      </c>
      <c r="H61">
        <v>72</v>
      </c>
      <c r="I61">
        <f>IF(L61=1,1,0)</f>
        <v>0</v>
      </c>
      <c r="J61">
        <f>IF(L61=2,1,0)</f>
        <v>0</v>
      </c>
      <c r="K61">
        <f>IF(L61=3,1,0)</f>
        <v>1</v>
      </c>
      <c r="L61">
        <f>VALUE(LEFT(M61,1))</f>
        <v>3</v>
      </c>
      <c r="M61" t="s">
        <v>444</v>
      </c>
      <c r="N61" t="s">
        <v>445</v>
      </c>
      <c r="O61" t="s">
        <v>503</v>
      </c>
    </row>
    <row r="62" spans="2:16">
      <c r="B62">
        <v>25</v>
      </c>
      <c r="C62">
        <v>4</v>
      </c>
      <c r="D62">
        <v>97.5</v>
      </c>
      <c r="E62">
        <v>80</v>
      </c>
      <c r="F62">
        <v>2126</v>
      </c>
      <c r="G62">
        <v>17</v>
      </c>
      <c r="H62">
        <v>72</v>
      </c>
      <c r="I62">
        <f>IF(L62=1,1,0)</f>
        <v>1</v>
      </c>
      <c r="J62">
        <f>IF(L62=2,1,0)</f>
        <v>0</v>
      </c>
      <c r="K62">
        <f>IF(L62=3,1,0)</f>
        <v>0</v>
      </c>
      <c r="L62">
        <f>VALUE(LEFT(M62,1))</f>
        <v>1</v>
      </c>
      <c r="M62" t="s">
        <v>434</v>
      </c>
      <c r="N62" t="s">
        <v>504</v>
      </c>
      <c r="O62" t="s">
        <v>503</v>
      </c>
    </row>
    <row r="63" spans="2:16">
      <c r="B63">
        <v>23</v>
      </c>
      <c r="C63">
        <v>4</v>
      </c>
      <c r="D63">
        <v>97</v>
      </c>
      <c r="E63">
        <v>54</v>
      </c>
      <c r="F63">
        <v>2254</v>
      </c>
      <c r="G63">
        <v>23.5</v>
      </c>
      <c r="H63">
        <v>72</v>
      </c>
      <c r="I63">
        <f>IF(L63=1,1,0)</f>
        <v>0</v>
      </c>
      <c r="J63">
        <f>IF(L63=2,1,0)</f>
        <v>1</v>
      </c>
      <c r="K63">
        <f>IF(L63=3,1,0)</f>
        <v>0</v>
      </c>
      <c r="L63">
        <f>VALUE(LEFT(M63,1))</f>
        <v>2</v>
      </c>
      <c r="M63" t="s">
        <v>453</v>
      </c>
      <c r="N63" t="s">
        <v>505</v>
      </c>
      <c r="O63" t="s">
        <v>506</v>
      </c>
    </row>
    <row r="64" spans="2:16">
      <c r="B64">
        <v>20</v>
      </c>
      <c r="C64">
        <v>4</v>
      </c>
      <c r="D64">
        <v>140</v>
      </c>
      <c r="E64">
        <v>90</v>
      </c>
      <c r="F64">
        <v>2408</v>
      </c>
      <c r="G64">
        <v>19.5</v>
      </c>
      <c r="H64">
        <v>72</v>
      </c>
      <c r="I64">
        <f>IF(L64=1,1,0)</f>
        <v>1</v>
      </c>
      <c r="J64">
        <f>IF(L64=2,1,0)</f>
        <v>0</v>
      </c>
      <c r="K64">
        <f>IF(L64=3,1,0)</f>
        <v>0</v>
      </c>
      <c r="L64">
        <f>VALUE(LEFT(M64,1))</f>
        <v>1</v>
      </c>
      <c r="M64" t="s">
        <v>412</v>
      </c>
      <c r="N64" t="s">
        <v>507</v>
      </c>
    </row>
    <row r="65" spans="2:16">
      <c r="B65">
        <v>21</v>
      </c>
      <c r="C65">
        <v>4</v>
      </c>
      <c r="D65">
        <v>122</v>
      </c>
      <c r="E65">
        <v>86</v>
      </c>
      <c r="F65">
        <v>2226</v>
      </c>
      <c r="G65">
        <v>16.5</v>
      </c>
      <c r="H65">
        <v>72</v>
      </c>
      <c r="I65">
        <f>IF(L65=1,1,0)</f>
        <v>1</v>
      </c>
      <c r="J65">
        <f>IF(L65=2,1,0)</f>
        <v>0</v>
      </c>
      <c r="K65">
        <f>IF(L65=3,1,0)</f>
        <v>0</v>
      </c>
      <c r="L65">
        <f>VALUE(LEFT(M65,1))</f>
        <v>1</v>
      </c>
      <c r="M65" t="s">
        <v>423</v>
      </c>
      <c r="N65" t="s">
        <v>508</v>
      </c>
      <c r="O65" t="s">
        <v>509</v>
      </c>
    </row>
    <row r="66" spans="2:16">
      <c r="B66" s="2">
        <v>13</v>
      </c>
      <c r="C66">
        <v>8</v>
      </c>
      <c r="D66">
        <v>350</v>
      </c>
      <c r="E66">
        <v>165</v>
      </c>
      <c r="F66">
        <v>4274</v>
      </c>
      <c r="G66">
        <v>12</v>
      </c>
      <c r="H66">
        <v>72</v>
      </c>
      <c r="I66">
        <f>IF(L66=1,1,0)</f>
        <v>1</v>
      </c>
      <c r="J66">
        <f>IF(L66=2,1,0)</f>
        <v>0</v>
      </c>
      <c r="K66">
        <f>IF(L66=3,1,0)</f>
        <v>0</v>
      </c>
      <c r="L66">
        <f>VALUE(LEFT(M66,1))</f>
        <v>1</v>
      </c>
      <c r="M66" t="s">
        <v>412</v>
      </c>
      <c r="N66" t="s">
        <v>427</v>
      </c>
    </row>
    <row r="67" spans="2:16">
      <c r="B67">
        <v>14</v>
      </c>
      <c r="C67">
        <v>8</v>
      </c>
      <c r="D67">
        <v>400</v>
      </c>
      <c r="E67">
        <v>175</v>
      </c>
      <c r="F67">
        <v>4385</v>
      </c>
      <c r="G67">
        <v>12</v>
      </c>
      <c r="H67">
        <v>72</v>
      </c>
      <c r="I67">
        <f>IF(L67=1,1,0)</f>
        <v>1</v>
      </c>
      <c r="J67">
        <f>IF(L67=2,1,0)</f>
        <v>0</v>
      </c>
      <c r="K67">
        <f>IF(L67=3,1,0)</f>
        <v>0</v>
      </c>
      <c r="L67">
        <f>VALUE(LEFT(M67,1))</f>
        <v>1</v>
      </c>
      <c r="M67" t="s">
        <v>430</v>
      </c>
      <c r="N67" t="s">
        <v>431</v>
      </c>
    </row>
    <row r="68" spans="2:16">
      <c r="B68">
        <v>15</v>
      </c>
      <c r="C68">
        <v>8</v>
      </c>
      <c r="D68">
        <v>318</v>
      </c>
      <c r="E68">
        <v>150</v>
      </c>
      <c r="F68">
        <v>4135</v>
      </c>
      <c r="G68">
        <v>13.5</v>
      </c>
      <c r="H68">
        <v>72</v>
      </c>
      <c r="I68">
        <f>IF(L68=1,1,0)</f>
        <v>1</v>
      </c>
      <c r="J68">
        <f>IF(L68=2,1,0)</f>
        <v>0</v>
      </c>
      <c r="K68">
        <f>IF(L68=3,1,0)</f>
        <v>0</v>
      </c>
      <c r="L68">
        <f>VALUE(LEFT(M68,1))</f>
        <v>1</v>
      </c>
      <c r="M68" t="s">
        <v>418</v>
      </c>
      <c r="N68" t="s">
        <v>428</v>
      </c>
      <c r="O68" t="s">
        <v>429</v>
      </c>
    </row>
    <row r="69" spans="2:16">
      <c r="B69">
        <v>14</v>
      </c>
      <c r="C69">
        <v>8</v>
      </c>
      <c r="D69">
        <v>351</v>
      </c>
      <c r="E69">
        <v>153</v>
      </c>
      <c r="F69">
        <v>4129</v>
      </c>
      <c r="G69">
        <v>13</v>
      </c>
      <c r="H69">
        <v>72</v>
      </c>
      <c r="I69">
        <f>IF(L69=1,1,0)</f>
        <v>1</v>
      </c>
      <c r="J69">
        <f>IF(L69=2,1,0)</f>
        <v>0</v>
      </c>
      <c r="K69">
        <f>IF(L69=3,1,0)</f>
        <v>0</v>
      </c>
      <c r="L69">
        <f>VALUE(LEFT(M69,1))</f>
        <v>1</v>
      </c>
      <c r="M69" t="s">
        <v>423</v>
      </c>
      <c r="N69" t="s">
        <v>425</v>
      </c>
      <c r="O69" t="s">
        <v>426</v>
      </c>
    </row>
    <row r="70" spans="2:16">
      <c r="B70">
        <v>17</v>
      </c>
      <c r="C70">
        <v>8</v>
      </c>
      <c r="D70">
        <v>304</v>
      </c>
      <c r="E70">
        <v>150</v>
      </c>
      <c r="F70">
        <v>3672</v>
      </c>
      <c r="G70">
        <v>11.5</v>
      </c>
      <c r="H70">
        <v>72</v>
      </c>
      <c r="I70">
        <f>IF(L70=1,1,0)</f>
        <v>1</v>
      </c>
      <c r="J70">
        <f>IF(L70=2,1,0)</f>
        <v>0</v>
      </c>
      <c r="K70">
        <f>IF(L70=3,1,0)</f>
        <v>0</v>
      </c>
      <c r="L70">
        <f>VALUE(LEFT(M70,1))</f>
        <v>1</v>
      </c>
      <c r="M70" t="s">
        <v>420</v>
      </c>
      <c r="N70" t="s">
        <v>432</v>
      </c>
      <c r="O70" t="s">
        <v>422</v>
      </c>
    </row>
    <row r="71" spans="2:16">
      <c r="B71" s="2">
        <v>11</v>
      </c>
      <c r="C71">
        <v>8</v>
      </c>
      <c r="D71">
        <v>429</v>
      </c>
      <c r="E71">
        <v>208</v>
      </c>
      <c r="F71">
        <v>4633</v>
      </c>
      <c r="G71">
        <v>11</v>
      </c>
      <c r="H71">
        <v>72</v>
      </c>
      <c r="I71">
        <f>IF(L71=1,1,0)</f>
        <v>1</v>
      </c>
      <c r="J71">
        <f>IF(L71=2,1,0)</f>
        <v>0</v>
      </c>
      <c r="K71">
        <f>IF(L71=3,1,0)</f>
        <v>0</v>
      </c>
      <c r="L71">
        <f>VALUE(LEFT(M71,1))</f>
        <v>1</v>
      </c>
      <c r="M71" t="s">
        <v>490</v>
      </c>
      <c r="N71" t="s">
        <v>510</v>
      </c>
    </row>
    <row r="72" spans="2:16">
      <c r="B72" s="2">
        <v>13</v>
      </c>
      <c r="C72">
        <v>8</v>
      </c>
      <c r="D72">
        <v>350</v>
      </c>
      <c r="E72">
        <v>155</v>
      </c>
      <c r="F72">
        <v>4502</v>
      </c>
      <c r="G72">
        <v>13.5</v>
      </c>
      <c r="H72">
        <v>72</v>
      </c>
      <c r="I72">
        <f>IF(L72=1,1,0)</f>
        <v>1</v>
      </c>
      <c r="J72">
        <f>IF(L72=2,1,0)</f>
        <v>0</v>
      </c>
      <c r="K72">
        <f>IF(L72=3,1,0)</f>
        <v>0</v>
      </c>
      <c r="L72">
        <f>VALUE(LEFT(M72,1))</f>
        <v>1</v>
      </c>
      <c r="M72" t="s">
        <v>415</v>
      </c>
      <c r="N72" t="s">
        <v>511</v>
      </c>
      <c r="O72" t="s">
        <v>477</v>
      </c>
    </row>
    <row r="73" spans="2:16">
      <c r="B73" s="2">
        <v>12</v>
      </c>
      <c r="C73">
        <v>8</v>
      </c>
      <c r="D73">
        <v>350</v>
      </c>
      <c r="E73">
        <v>160</v>
      </c>
      <c r="F73">
        <v>4456</v>
      </c>
      <c r="G73">
        <v>13.5</v>
      </c>
      <c r="H73">
        <v>72</v>
      </c>
      <c r="I73">
        <f>IF(L73=1,1,0)</f>
        <v>1</v>
      </c>
      <c r="J73">
        <f>IF(L73=2,1,0)</f>
        <v>0</v>
      </c>
      <c r="K73">
        <f>IF(L73=3,1,0)</f>
        <v>0</v>
      </c>
      <c r="L73">
        <f>VALUE(LEFT(M73,1))</f>
        <v>1</v>
      </c>
      <c r="M73" t="s">
        <v>512</v>
      </c>
      <c r="N73" t="s">
        <v>513</v>
      </c>
      <c r="O73">
        <v>88</v>
      </c>
      <c r="P73" t="s">
        <v>514</v>
      </c>
    </row>
    <row r="74" spans="2:16">
      <c r="B74" s="2">
        <v>13</v>
      </c>
      <c r="C74">
        <v>8</v>
      </c>
      <c r="D74">
        <v>400</v>
      </c>
      <c r="E74">
        <v>190</v>
      </c>
      <c r="F74">
        <v>4422</v>
      </c>
      <c r="G74">
        <v>12.5</v>
      </c>
      <c r="H74">
        <v>72</v>
      </c>
      <c r="I74">
        <f>IF(L74=1,1,0)</f>
        <v>1</v>
      </c>
      <c r="J74">
        <f>IF(L74=2,1,0)</f>
        <v>0</v>
      </c>
      <c r="K74">
        <f>IF(L74=3,1,0)</f>
        <v>0</v>
      </c>
      <c r="L74">
        <f>VALUE(LEFT(M74,1))</f>
        <v>1</v>
      </c>
      <c r="M74" t="s">
        <v>515</v>
      </c>
      <c r="N74" t="s">
        <v>516</v>
      </c>
      <c r="O74" t="s">
        <v>517</v>
      </c>
    </row>
    <row r="75" spans="2:16">
      <c r="B75">
        <v>19</v>
      </c>
      <c r="C75">
        <v>3</v>
      </c>
      <c r="D75">
        <v>70</v>
      </c>
      <c r="E75">
        <v>97</v>
      </c>
      <c r="F75">
        <v>2330</v>
      </c>
      <c r="G75">
        <v>13.5</v>
      </c>
      <c r="H75">
        <v>72</v>
      </c>
      <c r="I75">
        <f>IF(L75=1,1,0)</f>
        <v>0</v>
      </c>
      <c r="J75">
        <f>IF(L75=2,1,0)</f>
        <v>0</v>
      </c>
      <c r="K75">
        <f>IF(L75=3,1,0)</f>
        <v>1</v>
      </c>
      <c r="L75">
        <f>VALUE(LEFT(M75,1))</f>
        <v>3</v>
      </c>
      <c r="M75" t="s">
        <v>518</v>
      </c>
      <c r="N75" t="s">
        <v>519</v>
      </c>
      <c r="O75" t="s">
        <v>520</v>
      </c>
    </row>
    <row r="76" spans="2:16">
      <c r="B76">
        <v>15</v>
      </c>
      <c r="C76">
        <v>8</v>
      </c>
      <c r="D76">
        <v>304</v>
      </c>
      <c r="E76">
        <v>150</v>
      </c>
      <c r="F76">
        <v>3892</v>
      </c>
      <c r="G76">
        <v>12.5</v>
      </c>
      <c r="H76">
        <v>72</v>
      </c>
      <c r="I76">
        <f>IF(L76=1,1,0)</f>
        <v>1</v>
      </c>
      <c r="J76">
        <f>IF(L76=2,1,0)</f>
        <v>0</v>
      </c>
      <c r="K76">
        <f>IF(L76=3,1,0)</f>
        <v>0</v>
      </c>
      <c r="L76">
        <f>VALUE(LEFT(M76,1))</f>
        <v>1</v>
      </c>
      <c r="M76" t="s">
        <v>420</v>
      </c>
      <c r="N76" t="s">
        <v>521</v>
      </c>
      <c r="O76" t="s">
        <v>443</v>
      </c>
    </row>
    <row r="77" spans="2:16">
      <c r="B77" s="2">
        <v>13</v>
      </c>
      <c r="C77">
        <v>8</v>
      </c>
      <c r="D77">
        <v>307</v>
      </c>
      <c r="E77">
        <v>130</v>
      </c>
      <c r="F77">
        <v>4098</v>
      </c>
      <c r="G77">
        <v>14</v>
      </c>
      <c r="H77">
        <v>72</v>
      </c>
      <c r="I77">
        <f>IF(L77=1,1,0)</f>
        <v>1</v>
      </c>
      <c r="J77">
        <f>IF(L77=2,1,0)</f>
        <v>0</v>
      </c>
      <c r="K77">
        <f>IF(L77=3,1,0)</f>
        <v>0</v>
      </c>
      <c r="L77">
        <f>VALUE(LEFT(M77,1))</f>
        <v>1</v>
      </c>
      <c r="M77" t="s">
        <v>412</v>
      </c>
      <c r="N77" t="s">
        <v>413</v>
      </c>
      <c r="O77" t="s">
        <v>522</v>
      </c>
      <c r="P77" t="s">
        <v>443</v>
      </c>
    </row>
    <row r="78" spans="2:16">
      <c r="B78" s="2">
        <v>13</v>
      </c>
      <c r="C78">
        <v>8</v>
      </c>
      <c r="D78">
        <v>302</v>
      </c>
      <c r="E78">
        <v>140</v>
      </c>
      <c r="F78">
        <v>4294</v>
      </c>
      <c r="G78">
        <v>16</v>
      </c>
      <c r="H78">
        <v>72</v>
      </c>
      <c r="I78">
        <f>IF(L78=1,1,0)</f>
        <v>1</v>
      </c>
      <c r="J78">
        <f>IF(L78=2,1,0)</f>
        <v>0</v>
      </c>
      <c r="K78">
        <f>IF(L78=3,1,0)</f>
        <v>0</v>
      </c>
      <c r="L78">
        <f>VALUE(LEFT(M78,1))</f>
        <v>1</v>
      </c>
      <c r="M78" t="s">
        <v>423</v>
      </c>
      <c r="N78" t="s">
        <v>523</v>
      </c>
      <c r="O78" t="s">
        <v>478</v>
      </c>
      <c r="P78" t="s">
        <v>443</v>
      </c>
    </row>
    <row r="79" spans="2:16">
      <c r="B79">
        <v>14</v>
      </c>
      <c r="C79">
        <v>8</v>
      </c>
      <c r="D79">
        <v>318</v>
      </c>
      <c r="E79">
        <v>150</v>
      </c>
      <c r="F79">
        <v>4077</v>
      </c>
      <c r="G79">
        <v>14</v>
      </c>
      <c r="H79">
        <v>72</v>
      </c>
      <c r="I79">
        <f>IF(L79=1,1,0)</f>
        <v>1</v>
      </c>
      <c r="J79">
        <f>IF(L79=2,1,0)</f>
        <v>0</v>
      </c>
      <c r="K79">
        <f>IF(L79=3,1,0)</f>
        <v>0</v>
      </c>
      <c r="L79">
        <f>VALUE(LEFT(M79,1))</f>
        <v>1</v>
      </c>
      <c r="M79" t="s">
        <v>418</v>
      </c>
      <c r="N79" t="s">
        <v>476</v>
      </c>
      <c r="O79" t="s">
        <v>524</v>
      </c>
      <c r="P79" t="s">
        <v>443</v>
      </c>
    </row>
    <row r="80" spans="2:16">
      <c r="B80">
        <v>18</v>
      </c>
      <c r="C80">
        <v>4</v>
      </c>
      <c r="D80">
        <v>121</v>
      </c>
      <c r="E80">
        <v>112</v>
      </c>
      <c r="F80">
        <v>2933</v>
      </c>
      <c r="G80">
        <v>14.5</v>
      </c>
      <c r="H80">
        <v>72</v>
      </c>
      <c r="I80">
        <f>IF(L80=1,1,0)</f>
        <v>0</v>
      </c>
      <c r="J80">
        <f>IF(L80=2,1,0)</f>
        <v>1</v>
      </c>
      <c r="K80">
        <f>IF(L80=3,1,0)</f>
        <v>0</v>
      </c>
      <c r="L80">
        <f>VALUE(LEFT(M80,1))</f>
        <v>2</v>
      </c>
      <c r="M80" t="s">
        <v>525</v>
      </c>
      <c r="N80" t="s">
        <v>526</v>
      </c>
      <c r="O80" t="s">
        <v>443</v>
      </c>
    </row>
    <row r="81" spans="2:17">
      <c r="B81">
        <v>22</v>
      </c>
      <c r="C81">
        <v>4</v>
      </c>
      <c r="D81">
        <v>121</v>
      </c>
      <c r="E81">
        <v>76</v>
      </c>
      <c r="F81">
        <v>2511</v>
      </c>
      <c r="G81">
        <v>18</v>
      </c>
      <c r="H81">
        <v>72</v>
      </c>
      <c r="I81">
        <f>IF(L81=1,1,0)</f>
        <v>0</v>
      </c>
      <c r="J81">
        <f>IF(L81=2,1,0)</f>
        <v>1</v>
      </c>
      <c r="K81">
        <f>IF(L81=3,1,0)</f>
        <v>0</v>
      </c>
      <c r="L81">
        <f>VALUE(LEFT(M81,1))</f>
        <v>2</v>
      </c>
      <c r="M81" t="s">
        <v>453</v>
      </c>
      <c r="N81">
        <v>411</v>
      </c>
      <c r="O81" t="s">
        <v>443</v>
      </c>
    </row>
    <row r="82" spans="2:17">
      <c r="B82">
        <v>21</v>
      </c>
      <c r="C82">
        <v>4</v>
      </c>
      <c r="D82">
        <v>120</v>
      </c>
      <c r="E82">
        <v>87</v>
      </c>
      <c r="F82">
        <v>2979</v>
      </c>
      <c r="G82">
        <v>19.5</v>
      </c>
      <c r="H82">
        <v>72</v>
      </c>
      <c r="I82">
        <f>IF(L82=1,1,0)</f>
        <v>0</v>
      </c>
      <c r="J82">
        <f>IF(L82=2,1,0)</f>
        <v>1</v>
      </c>
      <c r="K82">
        <f>IF(L82=3,1,0)</f>
        <v>0</v>
      </c>
      <c r="L82">
        <f>VALUE(LEFT(M82,1))</f>
        <v>2</v>
      </c>
      <c r="M82" t="s">
        <v>456</v>
      </c>
      <c r="N82">
        <v>504</v>
      </c>
      <c r="O82" t="s">
        <v>443</v>
      </c>
    </row>
    <row r="83" spans="2:17">
      <c r="B83">
        <v>26</v>
      </c>
      <c r="C83">
        <v>4</v>
      </c>
      <c r="D83">
        <v>96</v>
      </c>
      <c r="E83">
        <v>69</v>
      </c>
      <c r="F83">
        <v>2189</v>
      </c>
      <c r="G83">
        <v>18</v>
      </c>
      <c r="H83">
        <v>72</v>
      </c>
      <c r="I83">
        <f>IF(L83=1,1,0)</f>
        <v>0</v>
      </c>
      <c r="J83">
        <f>IF(L83=2,1,0)</f>
        <v>1</v>
      </c>
      <c r="K83">
        <f>IF(L83=3,1,0)</f>
        <v>0</v>
      </c>
      <c r="L83">
        <f>VALUE(LEFT(M83,1))</f>
        <v>2</v>
      </c>
      <c r="M83" t="s">
        <v>527</v>
      </c>
      <c r="N83">
        <v>12</v>
      </c>
      <c r="O83" t="s">
        <v>443</v>
      </c>
    </row>
    <row r="84" spans="2:17">
      <c r="B84">
        <v>22</v>
      </c>
      <c r="C84">
        <v>4</v>
      </c>
      <c r="D84">
        <v>122</v>
      </c>
      <c r="E84">
        <v>86</v>
      </c>
      <c r="F84">
        <v>2395</v>
      </c>
      <c r="G84">
        <v>16</v>
      </c>
      <c r="H84">
        <v>72</v>
      </c>
      <c r="I84">
        <f>IF(L84=1,1,0)</f>
        <v>1</v>
      </c>
      <c r="J84">
        <f>IF(L84=2,1,0)</f>
        <v>0</v>
      </c>
      <c r="K84">
        <f>IF(L84=3,1,0)</f>
        <v>0</v>
      </c>
      <c r="L84">
        <f>VALUE(LEFT(M84,1))</f>
        <v>1</v>
      </c>
      <c r="M84" t="s">
        <v>423</v>
      </c>
      <c r="N84" t="s">
        <v>508</v>
      </c>
      <c r="O84" t="s">
        <v>443</v>
      </c>
    </row>
    <row r="85" spans="2:17">
      <c r="B85">
        <v>28</v>
      </c>
      <c r="C85">
        <v>4</v>
      </c>
      <c r="D85">
        <v>97</v>
      </c>
      <c r="E85">
        <v>92</v>
      </c>
      <c r="F85">
        <v>2288</v>
      </c>
      <c r="G85">
        <v>17</v>
      </c>
      <c r="H85">
        <v>72</v>
      </c>
      <c r="I85">
        <f>IF(L85=1,1,0)</f>
        <v>0</v>
      </c>
      <c r="J85">
        <f>IF(L85=2,1,0)</f>
        <v>0</v>
      </c>
      <c r="K85">
        <f>IF(L85=3,1,0)</f>
        <v>1</v>
      </c>
      <c r="L85">
        <f>VALUE(LEFT(M85,1))</f>
        <v>3</v>
      </c>
      <c r="M85" t="s">
        <v>451</v>
      </c>
      <c r="N85">
        <v>510</v>
      </c>
      <c r="O85" t="s">
        <v>443</v>
      </c>
    </row>
    <row r="86" spans="2:17">
      <c r="B86">
        <v>23</v>
      </c>
      <c r="C86">
        <v>4</v>
      </c>
      <c r="D86">
        <v>120</v>
      </c>
      <c r="E86">
        <v>97</v>
      </c>
      <c r="F86">
        <v>2506</v>
      </c>
      <c r="G86">
        <v>14.5</v>
      </c>
      <c r="H86">
        <v>72</v>
      </c>
      <c r="I86">
        <f>IF(L86=1,1,0)</f>
        <v>0</v>
      </c>
      <c r="J86">
        <f>IF(L86=2,1,0)</f>
        <v>0</v>
      </c>
      <c r="K86">
        <f>IF(L86=3,1,0)</f>
        <v>1</v>
      </c>
      <c r="L86">
        <f>VALUE(LEFT(M86,1))</f>
        <v>3</v>
      </c>
      <c r="M86" t="s">
        <v>528</v>
      </c>
      <c r="N86" t="s">
        <v>445</v>
      </c>
      <c r="O86" t="s">
        <v>446</v>
      </c>
      <c r="P86" t="s">
        <v>529</v>
      </c>
      <c r="Q86" t="s">
        <v>443</v>
      </c>
    </row>
    <row r="87" spans="2:17">
      <c r="B87">
        <v>28</v>
      </c>
      <c r="C87">
        <v>4</v>
      </c>
      <c r="D87">
        <v>98</v>
      </c>
      <c r="E87">
        <v>80</v>
      </c>
      <c r="F87">
        <v>2164</v>
      </c>
      <c r="G87">
        <v>15</v>
      </c>
      <c r="H87">
        <v>72</v>
      </c>
      <c r="I87">
        <f>IF(L87=1,1,0)</f>
        <v>1</v>
      </c>
      <c r="J87">
        <f>IF(L87=2,1,0)</f>
        <v>0</v>
      </c>
      <c r="K87">
        <f>IF(L87=3,1,0)</f>
        <v>0</v>
      </c>
      <c r="L87">
        <f>VALUE(LEFT(M87,1))</f>
        <v>1</v>
      </c>
      <c r="M87" t="s">
        <v>434</v>
      </c>
      <c r="N87" t="s">
        <v>504</v>
      </c>
      <c r="O87" t="s">
        <v>443</v>
      </c>
    </row>
    <row r="88" spans="2:17">
      <c r="B88">
        <v>27</v>
      </c>
      <c r="C88">
        <v>4</v>
      </c>
      <c r="D88">
        <v>97</v>
      </c>
      <c r="E88">
        <v>88</v>
      </c>
      <c r="F88">
        <v>2100</v>
      </c>
      <c r="G88">
        <v>16.5</v>
      </c>
      <c r="H88">
        <v>72</v>
      </c>
      <c r="I88">
        <f>IF(L88=1,1,0)</f>
        <v>0</v>
      </c>
      <c r="J88">
        <f>IF(L88=2,1,0)</f>
        <v>0</v>
      </c>
      <c r="K88">
        <f>IF(L88=3,1,0)</f>
        <v>1</v>
      </c>
      <c r="L88">
        <f>VALUE(LEFT(M88,1))</f>
        <v>3</v>
      </c>
      <c r="M88" t="s">
        <v>444</v>
      </c>
      <c r="N88" t="s">
        <v>498</v>
      </c>
      <c r="O88">
        <v>1600</v>
      </c>
      <c r="P88" t="s">
        <v>443</v>
      </c>
    </row>
    <row r="89" spans="2:17">
      <c r="B89" s="2">
        <v>13</v>
      </c>
      <c r="C89">
        <v>8</v>
      </c>
      <c r="D89">
        <v>350</v>
      </c>
      <c r="E89">
        <v>175</v>
      </c>
      <c r="F89">
        <v>4100</v>
      </c>
      <c r="G89">
        <v>13</v>
      </c>
      <c r="H89">
        <v>73</v>
      </c>
      <c r="I89">
        <f>IF(L89=1,1,0)</f>
        <v>1</v>
      </c>
      <c r="J89">
        <f>IF(L89=2,1,0)</f>
        <v>0</v>
      </c>
      <c r="K89">
        <f>IF(L89=3,1,0)</f>
        <v>0</v>
      </c>
      <c r="L89">
        <f>VALUE(LEFT(M89,1))</f>
        <v>1</v>
      </c>
      <c r="M89" t="s">
        <v>415</v>
      </c>
      <c r="N89" t="s">
        <v>530</v>
      </c>
      <c r="O89" t="s">
        <v>531</v>
      </c>
    </row>
    <row r="90" spans="2:17">
      <c r="B90">
        <v>14</v>
      </c>
      <c r="C90">
        <v>8</v>
      </c>
      <c r="D90">
        <v>304</v>
      </c>
      <c r="E90">
        <v>150</v>
      </c>
      <c r="F90">
        <v>3672</v>
      </c>
      <c r="G90">
        <v>11.5</v>
      </c>
      <c r="H90">
        <v>73</v>
      </c>
      <c r="I90">
        <f>IF(L90=1,1,0)</f>
        <v>1</v>
      </c>
      <c r="J90">
        <f>IF(L90=2,1,0)</f>
        <v>0</v>
      </c>
      <c r="K90">
        <f>IF(L90=3,1,0)</f>
        <v>0</v>
      </c>
      <c r="L90">
        <f>VALUE(LEFT(M90,1))</f>
        <v>1</v>
      </c>
      <c r="M90" t="s">
        <v>420</v>
      </c>
      <c r="N90" t="s">
        <v>479</v>
      </c>
    </row>
    <row r="91" spans="2:17">
      <c r="B91" s="2">
        <v>13</v>
      </c>
      <c r="C91">
        <v>8</v>
      </c>
      <c r="D91">
        <v>350</v>
      </c>
      <c r="E91">
        <v>145</v>
      </c>
      <c r="F91">
        <v>3988</v>
      </c>
      <c r="G91">
        <v>13</v>
      </c>
      <c r="H91">
        <v>73</v>
      </c>
      <c r="I91">
        <f>IF(L91=1,1,0)</f>
        <v>1</v>
      </c>
      <c r="J91">
        <f>IF(L91=2,1,0)</f>
        <v>0</v>
      </c>
      <c r="K91">
        <f>IF(L91=3,1,0)</f>
        <v>0</v>
      </c>
      <c r="L91">
        <f>VALUE(LEFT(M91,1))</f>
        <v>1</v>
      </c>
      <c r="M91" t="s">
        <v>412</v>
      </c>
      <c r="N91" t="s">
        <v>414</v>
      </c>
    </row>
    <row r="92" spans="2:17">
      <c r="B92">
        <v>14</v>
      </c>
      <c r="C92">
        <v>8</v>
      </c>
      <c r="D92">
        <v>302</v>
      </c>
      <c r="E92">
        <v>137</v>
      </c>
      <c r="F92">
        <v>4042</v>
      </c>
      <c r="G92">
        <v>14.5</v>
      </c>
      <c r="H92">
        <v>73</v>
      </c>
      <c r="I92">
        <f>IF(L92=1,1,0)</f>
        <v>1</v>
      </c>
      <c r="J92">
        <f>IF(L92=2,1,0)</f>
        <v>0</v>
      </c>
      <c r="K92">
        <f>IF(L92=3,1,0)</f>
        <v>0</v>
      </c>
      <c r="L92">
        <f>VALUE(LEFT(M92,1))</f>
        <v>1</v>
      </c>
      <c r="M92" t="s">
        <v>423</v>
      </c>
      <c r="N92" t="s">
        <v>523</v>
      </c>
      <c r="O92" t="s">
        <v>424</v>
      </c>
    </row>
    <row r="93" spans="2:17">
      <c r="B93">
        <v>15</v>
      </c>
      <c r="C93">
        <v>8</v>
      </c>
      <c r="D93">
        <v>318</v>
      </c>
      <c r="E93">
        <v>150</v>
      </c>
      <c r="F93">
        <v>3777</v>
      </c>
      <c r="G93">
        <v>12.5</v>
      </c>
      <c r="H93">
        <v>73</v>
      </c>
      <c r="I93">
        <f>IF(L93=1,1,0)</f>
        <v>1</v>
      </c>
      <c r="J93">
        <f>IF(L93=2,1,0)</f>
        <v>0</v>
      </c>
      <c r="K93">
        <f>IF(L93=3,1,0)</f>
        <v>0</v>
      </c>
      <c r="L93">
        <f>VALUE(LEFT(M93,1))</f>
        <v>1</v>
      </c>
      <c r="M93" t="s">
        <v>434</v>
      </c>
      <c r="N93" t="s">
        <v>532</v>
      </c>
      <c r="O93" t="s">
        <v>477</v>
      </c>
    </row>
    <row r="94" spans="2:17">
      <c r="B94" s="2">
        <v>12</v>
      </c>
      <c r="C94">
        <v>8</v>
      </c>
      <c r="D94">
        <v>429</v>
      </c>
      <c r="E94">
        <v>198</v>
      </c>
      <c r="F94">
        <v>4952</v>
      </c>
      <c r="G94">
        <v>11.5</v>
      </c>
      <c r="H94">
        <v>73</v>
      </c>
      <c r="I94">
        <f>IF(L94=1,1,0)</f>
        <v>1</v>
      </c>
      <c r="J94">
        <f>IF(L94=2,1,0)</f>
        <v>0</v>
      </c>
      <c r="K94">
        <f>IF(L94=3,1,0)</f>
        <v>0</v>
      </c>
      <c r="L94">
        <f>VALUE(LEFT(M94,1))</f>
        <v>1</v>
      </c>
      <c r="M94" t="s">
        <v>490</v>
      </c>
      <c r="N94" t="s">
        <v>533</v>
      </c>
      <c r="O94" t="s">
        <v>481</v>
      </c>
    </row>
    <row r="95" spans="2:17">
      <c r="B95" s="2">
        <v>13</v>
      </c>
      <c r="C95">
        <v>8</v>
      </c>
      <c r="D95">
        <v>400</v>
      </c>
      <c r="E95">
        <v>150</v>
      </c>
      <c r="F95">
        <v>4464</v>
      </c>
      <c r="G95">
        <v>12</v>
      </c>
      <c r="H95">
        <v>73</v>
      </c>
      <c r="I95">
        <f>IF(L95=1,1,0)</f>
        <v>1</v>
      </c>
      <c r="J95">
        <f>IF(L95=2,1,0)</f>
        <v>0</v>
      </c>
      <c r="K95">
        <f>IF(L95=3,1,0)</f>
        <v>0</v>
      </c>
      <c r="L95">
        <f>VALUE(LEFT(M95,1))</f>
        <v>1</v>
      </c>
      <c r="M95" t="s">
        <v>412</v>
      </c>
      <c r="N95" t="s">
        <v>534</v>
      </c>
      <c r="O95" t="s">
        <v>535</v>
      </c>
    </row>
    <row r="96" spans="2:17">
      <c r="B96" s="2">
        <v>13</v>
      </c>
      <c r="C96">
        <v>8</v>
      </c>
      <c r="D96">
        <v>351</v>
      </c>
      <c r="E96">
        <v>158</v>
      </c>
      <c r="F96">
        <v>4363</v>
      </c>
      <c r="G96">
        <v>13</v>
      </c>
      <c r="H96">
        <v>73</v>
      </c>
      <c r="I96">
        <f>IF(L96=1,1,0)</f>
        <v>1</v>
      </c>
      <c r="J96">
        <f>IF(L96=2,1,0)</f>
        <v>0</v>
      </c>
      <c r="K96">
        <f>IF(L96=3,1,0)</f>
        <v>0</v>
      </c>
      <c r="L96">
        <f>VALUE(LEFT(M96,1))</f>
        <v>1</v>
      </c>
      <c r="M96" t="s">
        <v>423</v>
      </c>
      <c r="N96" t="s">
        <v>536</v>
      </c>
    </row>
    <row r="97" spans="2:16">
      <c r="B97">
        <v>14</v>
      </c>
      <c r="C97">
        <v>8</v>
      </c>
      <c r="D97">
        <v>318</v>
      </c>
      <c r="E97">
        <v>150</v>
      </c>
      <c r="F97">
        <v>4237</v>
      </c>
      <c r="G97">
        <v>14.5</v>
      </c>
      <c r="H97">
        <v>73</v>
      </c>
      <c r="I97">
        <f>IF(L97=1,1,0)</f>
        <v>1</v>
      </c>
      <c r="J97">
        <f>IF(L97=2,1,0)</f>
        <v>0</v>
      </c>
      <c r="K97">
        <f>IF(L97=3,1,0)</f>
        <v>0</v>
      </c>
      <c r="L97">
        <f>VALUE(LEFT(M97,1))</f>
        <v>1</v>
      </c>
      <c r="M97" t="s">
        <v>418</v>
      </c>
      <c r="N97" t="s">
        <v>428</v>
      </c>
      <c r="O97" t="s">
        <v>523</v>
      </c>
      <c r="P97" t="s">
        <v>455</v>
      </c>
    </row>
    <row r="98" spans="2:16">
      <c r="B98" s="2">
        <v>13</v>
      </c>
      <c r="C98">
        <v>8</v>
      </c>
      <c r="D98">
        <v>440</v>
      </c>
      <c r="E98">
        <v>215</v>
      </c>
      <c r="F98">
        <v>4735</v>
      </c>
      <c r="G98">
        <v>11</v>
      </c>
      <c r="H98">
        <v>73</v>
      </c>
      <c r="I98">
        <f>IF(L98=1,1,0)</f>
        <v>1</v>
      </c>
      <c r="J98">
        <f>IF(L98=2,1,0)</f>
        <v>0</v>
      </c>
      <c r="K98">
        <f>IF(L98=3,1,0)</f>
        <v>0</v>
      </c>
      <c r="L98">
        <f>VALUE(LEFT(M98,1))</f>
        <v>1</v>
      </c>
      <c r="M98" t="s">
        <v>515</v>
      </c>
      <c r="N98" t="s">
        <v>537</v>
      </c>
      <c r="O98" t="s">
        <v>538</v>
      </c>
      <c r="P98" t="s">
        <v>481</v>
      </c>
    </row>
    <row r="99" spans="2:16">
      <c r="B99" s="2">
        <v>12</v>
      </c>
      <c r="C99">
        <v>8</v>
      </c>
      <c r="D99">
        <v>455</v>
      </c>
      <c r="E99">
        <v>225</v>
      </c>
      <c r="F99">
        <v>4951</v>
      </c>
      <c r="G99">
        <v>11</v>
      </c>
      <c r="H99">
        <v>73</v>
      </c>
      <c r="I99">
        <f>IF(L99=1,1,0)</f>
        <v>1</v>
      </c>
      <c r="J99">
        <f>IF(L99=2,1,0)</f>
        <v>0</v>
      </c>
      <c r="K99">
        <f>IF(L99=3,1,0)</f>
        <v>0</v>
      </c>
      <c r="L99">
        <f>VALUE(LEFT(M99,1))</f>
        <v>1</v>
      </c>
      <c r="M99" t="s">
        <v>415</v>
      </c>
      <c r="N99" t="s">
        <v>539</v>
      </c>
      <c r="O99">
        <v>225</v>
      </c>
      <c r="P99" t="s">
        <v>477</v>
      </c>
    </row>
    <row r="100" spans="2:16">
      <c r="B100" s="2">
        <v>13</v>
      </c>
      <c r="C100">
        <v>8</v>
      </c>
      <c r="D100">
        <v>360</v>
      </c>
      <c r="E100">
        <v>175</v>
      </c>
      <c r="F100">
        <v>3821</v>
      </c>
      <c r="G100">
        <v>11</v>
      </c>
      <c r="H100">
        <v>73</v>
      </c>
      <c r="I100">
        <f>IF(L100=1,1,0)</f>
        <v>1</v>
      </c>
      <c r="J100">
        <f>IF(L100=2,1,0)</f>
        <v>0</v>
      </c>
      <c r="K100">
        <f>IF(L100=3,1,0)</f>
        <v>0</v>
      </c>
      <c r="L100">
        <f>VALUE(LEFT(M100,1))</f>
        <v>1</v>
      </c>
      <c r="M100" t="s">
        <v>420</v>
      </c>
      <c r="N100" t="s">
        <v>432</v>
      </c>
      <c r="O100" t="s">
        <v>481</v>
      </c>
    </row>
    <row r="101" spans="2:16">
      <c r="B101">
        <v>18</v>
      </c>
      <c r="C101">
        <v>6</v>
      </c>
      <c r="D101">
        <v>225</v>
      </c>
      <c r="E101">
        <v>105</v>
      </c>
      <c r="F101">
        <v>3121</v>
      </c>
      <c r="G101">
        <v>16.5</v>
      </c>
      <c r="H101">
        <v>73</v>
      </c>
      <c r="I101">
        <f>IF(L101=1,1,0)</f>
        <v>1</v>
      </c>
      <c r="J101">
        <f>IF(L101=2,1,0)</f>
        <v>0</v>
      </c>
      <c r="K101">
        <f>IF(L101=3,1,0)</f>
        <v>0</v>
      </c>
      <c r="L101">
        <f>VALUE(LEFT(M101,1))</f>
        <v>1</v>
      </c>
      <c r="M101" t="s">
        <v>418</v>
      </c>
      <c r="N101" t="s">
        <v>540</v>
      </c>
    </row>
    <row r="102" spans="2:16">
      <c r="B102">
        <v>16</v>
      </c>
      <c r="C102">
        <v>6</v>
      </c>
      <c r="D102">
        <v>250</v>
      </c>
      <c r="E102">
        <v>100</v>
      </c>
      <c r="F102">
        <v>3278</v>
      </c>
      <c r="G102">
        <v>18</v>
      </c>
      <c r="H102">
        <v>73</v>
      </c>
      <c r="I102">
        <f>IF(L102=1,1,0)</f>
        <v>1</v>
      </c>
      <c r="J102">
        <f>IF(L102=2,1,0)</f>
        <v>0</v>
      </c>
      <c r="K102">
        <f>IF(L102=3,1,0)</f>
        <v>0</v>
      </c>
      <c r="L102">
        <f>VALUE(LEFT(M102,1))</f>
        <v>1</v>
      </c>
      <c r="M102" t="s">
        <v>412</v>
      </c>
      <c r="N102" t="s">
        <v>541</v>
      </c>
      <c r="O102" t="s">
        <v>477</v>
      </c>
    </row>
    <row r="103" spans="2:16">
      <c r="B103">
        <v>18</v>
      </c>
      <c r="C103">
        <v>6</v>
      </c>
      <c r="D103">
        <v>232</v>
      </c>
      <c r="E103">
        <v>100</v>
      </c>
      <c r="F103">
        <v>2945</v>
      </c>
      <c r="G103">
        <v>16</v>
      </c>
      <c r="H103">
        <v>73</v>
      </c>
      <c r="I103">
        <f>IF(L103=1,1,0)</f>
        <v>1</v>
      </c>
      <c r="J103">
        <f>IF(L103=2,1,0)</f>
        <v>0</v>
      </c>
      <c r="K103">
        <f>IF(L103=3,1,0)</f>
        <v>0</v>
      </c>
      <c r="L103">
        <f>VALUE(LEFT(M103,1))</f>
        <v>1</v>
      </c>
      <c r="M103" t="s">
        <v>420</v>
      </c>
      <c r="N103" t="s">
        <v>449</v>
      </c>
    </row>
    <row r="104" spans="2:16">
      <c r="B104">
        <v>18</v>
      </c>
      <c r="C104">
        <v>6</v>
      </c>
      <c r="D104">
        <v>250</v>
      </c>
      <c r="E104">
        <v>88</v>
      </c>
      <c r="F104">
        <v>3021</v>
      </c>
      <c r="G104">
        <v>16.5</v>
      </c>
      <c r="H104">
        <v>73</v>
      </c>
      <c r="I104">
        <f>IF(L104=1,1,0)</f>
        <v>1</v>
      </c>
      <c r="J104">
        <f>IF(L104=2,1,0)</f>
        <v>0</v>
      </c>
      <c r="K104">
        <f>IF(L104=3,1,0)</f>
        <v>0</v>
      </c>
      <c r="L104">
        <f>VALUE(LEFT(M104,1))</f>
        <v>1</v>
      </c>
      <c r="M104" t="s">
        <v>423</v>
      </c>
      <c r="N104" t="s">
        <v>450</v>
      </c>
    </row>
    <row r="105" spans="2:16">
      <c r="B105">
        <v>23</v>
      </c>
      <c r="C105">
        <v>6</v>
      </c>
      <c r="D105">
        <v>198</v>
      </c>
      <c r="E105">
        <v>95</v>
      </c>
      <c r="F105">
        <v>2904</v>
      </c>
      <c r="G105">
        <v>16</v>
      </c>
      <c r="H105">
        <v>73</v>
      </c>
      <c r="I105">
        <f>IF(L105=1,1,0)</f>
        <v>1</v>
      </c>
      <c r="J105">
        <f>IF(L105=2,1,0)</f>
        <v>0</v>
      </c>
      <c r="K105">
        <f>IF(L105=3,1,0)</f>
        <v>0</v>
      </c>
      <c r="L105">
        <f>VALUE(LEFT(M105,1))</f>
        <v>1</v>
      </c>
      <c r="M105" t="s">
        <v>418</v>
      </c>
      <c r="N105" t="s">
        <v>448</v>
      </c>
    </row>
    <row r="106" spans="2:16">
      <c r="B106">
        <v>26</v>
      </c>
      <c r="C106">
        <v>4</v>
      </c>
      <c r="D106">
        <v>97</v>
      </c>
      <c r="E106">
        <v>46</v>
      </c>
      <c r="F106">
        <v>1950</v>
      </c>
      <c r="G106">
        <v>21</v>
      </c>
      <c r="H106">
        <v>73</v>
      </c>
      <c r="I106">
        <f>IF(L106=1,1,0)</f>
        <v>0</v>
      </c>
      <c r="J106">
        <f>IF(L106=2,1,0)</f>
        <v>1</v>
      </c>
      <c r="K106">
        <f>IF(L106=3,1,0)</f>
        <v>0</v>
      </c>
      <c r="L106">
        <f>VALUE(LEFT(M106,1))</f>
        <v>2</v>
      </c>
      <c r="M106" t="s">
        <v>453</v>
      </c>
      <c r="N106" t="s">
        <v>542</v>
      </c>
      <c r="O106" t="s">
        <v>543</v>
      </c>
    </row>
    <row r="107" spans="2:16">
      <c r="B107" s="2">
        <v>11</v>
      </c>
      <c r="C107">
        <v>8</v>
      </c>
      <c r="D107">
        <v>400</v>
      </c>
      <c r="E107">
        <v>150</v>
      </c>
      <c r="F107">
        <v>4997</v>
      </c>
      <c r="G107">
        <v>14</v>
      </c>
      <c r="H107">
        <v>73</v>
      </c>
      <c r="I107">
        <f>IF(L107=1,1,0)</f>
        <v>1</v>
      </c>
      <c r="J107">
        <f>IF(L107=2,1,0)</f>
        <v>0</v>
      </c>
      <c r="K107">
        <f>IF(L107=3,1,0)</f>
        <v>0</v>
      </c>
      <c r="L107">
        <f>VALUE(LEFT(M107,1))</f>
        <v>1</v>
      </c>
      <c r="M107" t="s">
        <v>412</v>
      </c>
      <c r="N107" t="s">
        <v>427</v>
      </c>
    </row>
    <row r="108" spans="2:16">
      <c r="B108" s="2">
        <v>12</v>
      </c>
      <c r="C108">
        <v>8</v>
      </c>
      <c r="D108">
        <v>400</v>
      </c>
      <c r="E108">
        <v>167</v>
      </c>
      <c r="F108">
        <v>4906</v>
      </c>
      <c r="G108">
        <v>12.5</v>
      </c>
      <c r="H108">
        <v>73</v>
      </c>
      <c r="I108">
        <f>IF(L108=1,1,0)</f>
        <v>1</v>
      </c>
      <c r="J108">
        <f>IF(L108=2,1,0)</f>
        <v>0</v>
      </c>
      <c r="K108">
        <f>IF(L108=3,1,0)</f>
        <v>0</v>
      </c>
      <c r="L108">
        <f>VALUE(LEFT(M108,1))</f>
        <v>1</v>
      </c>
      <c r="M108" t="s">
        <v>423</v>
      </c>
      <c r="N108" t="s">
        <v>544</v>
      </c>
    </row>
    <row r="109" spans="2:16">
      <c r="B109" s="2">
        <v>13</v>
      </c>
      <c r="C109">
        <v>8</v>
      </c>
      <c r="D109">
        <v>360</v>
      </c>
      <c r="E109">
        <v>170</v>
      </c>
      <c r="F109">
        <v>4654</v>
      </c>
      <c r="G109">
        <v>13</v>
      </c>
      <c r="H109">
        <v>73</v>
      </c>
      <c r="I109">
        <f>IF(L109=1,1,0)</f>
        <v>1</v>
      </c>
      <c r="J109">
        <f>IF(L109=2,1,0)</f>
        <v>0</v>
      </c>
      <c r="K109">
        <f>IF(L109=3,1,0)</f>
        <v>0</v>
      </c>
      <c r="L109">
        <f>VALUE(LEFT(M109,1))</f>
        <v>1</v>
      </c>
      <c r="M109" t="s">
        <v>418</v>
      </c>
      <c r="N109" t="s">
        <v>524</v>
      </c>
      <c r="O109" t="s">
        <v>545</v>
      </c>
    </row>
    <row r="110" spans="2:16">
      <c r="B110" s="2">
        <v>12</v>
      </c>
      <c r="C110">
        <v>8</v>
      </c>
      <c r="D110">
        <v>350</v>
      </c>
      <c r="E110">
        <v>180</v>
      </c>
      <c r="F110">
        <v>4499</v>
      </c>
      <c r="G110">
        <v>12.5</v>
      </c>
      <c r="H110">
        <v>73</v>
      </c>
      <c r="I110">
        <f>IF(L110=1,1,0)</f>
        <v>1</v>
      </c>
      <c r="J110">
        <f>IF(L110=2,1,0)</f>
        <v>0</v>
      </c>
      <c r="K110">
        <f>IF(L110=3,1,0)</f>
        <v>0</v>
      </c>
      <c r="L110">
        <f>VALUE(LEFT(M110,1))</f>
        <v>1</v>
      </c>
      <c r="M110" t="s">
        <v>512</v>
      </c>
      <c r="N110" t="s">
        <v>546</v>
      </c>
      <c r="O110" t="s">
        <v>547</v>
      </c>
    </row>
    <row r="111" spans="2:16">
      <c r="B111">
        <v>18</v>
      </c>
      <c r="C111">
        <v>6</v>
      </c>
      <c r="D111">
        <v>232</v>
      </c>
      <c r="E111">
        <v>100</v>
      </c>
      <c r="F111">
        <v>2789</v>
      </c>
      <c r="G111">
        <v>15</v>
      </c>
      <c r="H111">
        <v>73</v>
      </c>
      <c r="I111">
        <f>IF(L111=1,1,0)</f>
        <v>1</v>
      </c>
      <c r="J111">
        <f>IF(L111=2,1,0)</f>
        <v>0</v>
      </c>
      <c r="K111">
        <f>IF(L111=3,1,0)</f>
        <v>0</v>
      </c>
      <c r="L111">
        <f>VALUE(LEFT(M111,1))</f>
        <v>1</v>
      </c>
      <c r="M111" t="s">
        <v>420</v>
      </c>
      <c r="N111" t="s">
        <v>464</v>
      </c>
    </row>
    <row r="112" spans="2:16">
      <c r="B112">
        <v>20</v>
      </c>
      <c r="C112">
        <v>4</v>
      </c>
      <c r="D112">
        <v>97</v>
      </c>
      <c r="E112">
        <v>88</v>
      </c>
      <c r="F112">
        <v>2279</v>
      </c>
      <c r="G112">
        <v>19</v>
      </c>
      <c r="H112">
        <v>73</v>
      </c>
      <c r="I112">
        <f>IF(L112=1,1,0)</f>
        <v>0</v>
      </c>
      <c r="J112">
        <f>IF(L112=2,1,0)</f>
        <v>0</v>
      </c>
      <c r="K112">
        <f>IF(L112=3,1,0)</f>
        <v>1</v>
      </c>
      <c r="L112">
        <f>VALUE(LEFT(M112,1))</f>
        <v>3</v>
      </c>
      <c r="M112" t="s">
        <v>444</v>
      </c>
      <c r="N112" t="s">
        <v>548</v>
      </c>
    </row>
    <row r="113" spans="2:16">
      <c r="B113">
        <v>21</v>
      </c>
      <c r="C113">
        <v>4</v>
      </c>
      <c r="D113">
        <v>140</v>
      </c>
      <c r="E113">
        <v>72</v>
      </c>
      <c r="F113">
        <v>2401</v>
      </c>
      <c r="G113">
        <v>19.5</v>
      </c>
      <c r="H113">
        <v>73</v>
      </c>
      <c r="I113">
        <f>IF(L113=1,1,0)</f>
        <v>1</v>
      </c>
      <c r="J113">
        <f>IF(L113=2,1,0)</f>
        <v>0</v>
      </c>
      <c r="K113">
        <f>IF(L113=3,1,0)</f>
        <v>0</v>
      </c>
      <c r="L113">
        <f>VALUE(LEFT(M113,1))</f>
        <v>1</v>
      </c>
      <c r="M113" t="s">
        <v>412</v>
      </c>
      <c r="N113" t="s">
        <v>507</v>
      </c>
    </row>
    <row r="114" spans="2:16">
      <c r="B114">
        <v>22</v>
      </c>
      <c r="C114">
        <v>4</v>
      </c>
      <c r="D114">
        <v>108</v>
      </c>
      <c r="E114">
        <v>94</v>
      </c>
      <c r="F114">
        <v>2379</v>
      </c>
      <c r="G114">
        <v>16.5</v>
      </c>
      <c r="H114">
        <v>73</v>
      </c>
      <c r="I114">
        <f>IF(L114=1,1,0)</f>
        <v>0</v>
      </c>
      <c r="J114">
        <f>IF(L114=2,1,0)</f>
        <v>0</v>
      </c>
      <c r="K114">
        <f>IF(L114=3,1,0)</f>
        <v>1</v>
      </c>
      <c r="L114">
        <f>VALUE(LEFT(M114,1))</f>
        <v>3</v>
      </c>
      <c r="M114" t="s">
        <v>451</v>
      </c>
      <c r="N114" t="s">
        <v>549</v>
      </c>
    </row>
    <row r="115" spans="2:16">
      <c r="B115">
        <v>18</v>
      </c>
      <c r="C115">
        <v>3</v>
      </c>
      <c r="D115">
        <v>70</v>
      </c>
      <c r="E115">
        <v>90</v>
      </c>
      <c r="F115">
        <v>2124</v>
      </c>
      <c r="G115">
        <v>13.5</v>
      </c>
      <c r="H115">
        <v>73</v>
      </c>
      <c r="I115">
        <f>IF(L115=1,1,0)</f>
        <v>0</v>
      </c>
      <c r="J115">
        <f>IF(L115=2,1,0)</f>
        <v>0</v>
      </c>
      <c r="K115">
        <f>IF(L115=3,1,0)</f>
        <v>1</v>
      </c>
      <c r="L115">
        <f>VALUE(LEFT(M115,1))</f>
        <v>3</v>
      </c>
      <c r="M115" t="s">
        <v>550</v>
      </c>
      <c r="N115" t="s">
        <v>551</v>
      </c>
    </row>
    <row r="116" spans="2:16">
      <c r="B116">
        <v>19</v>
      </c>
      <c r="C116">
        <v>4</v>
      </c>
      <c r="D116">
        <v>122</v>
      </c>
      <c r="E116">
        <v>85</v>
      </c>
      <c r="F116">
        <v>2310</v>
      </c>
      <c r="G116">
        <v>18.5</v>
      </c>
      <c r="H116">
        <v>73</v>
      </c>
      <c r="I116">
        <f>IF(L116=1,1,0)</f>
        <v>1</v>
      </c>
      <c r="J116">
        <f>IF(L116=2,1,0)</f>
        <v>0</v>
      </c>
      <c r="K116">
        <f>IF(L116=3,1,0)</f>
        <v>0</v>
      </c>
      <c r="L116">
        <f>VALUE(LEFT(M116,1))</f>
        <v>1</v>
      </c>
      <c r="M116" t="s">
        <v>423</v>
      </c>
      <c r="N116" t="s">
        <v>475</v>
      </c>
    </row>
    <row r="117" spans="2:16">
      <c r="B117">
        <v>21</v>
      </c>
      <c r="C117">
        <v>6</v>
      </c>
      <c r="D117">
        <v>155</v>
      </c>
      <c r="E117">
        <v>107</v>
      </c>
      <c r="F117">
        <v>2472</v>
      </c>
      <c r="G117">
        <v>14</v>
      </c>
      <c r="H117">
        <v>73</v>
      </c>
      <c r="I117">
        <f>IF(L117=1,1,0)</f>
        <v>1</v>
      </c>
      <c r="J117">
        <f>IF(L117=2,1,0)</f>
        <v>0</v>
      </c>
      <c r="K117">
        <f>IF(L117=3,1,0)</f>
        <v>0</v>
      </c>
      <c r="L117">
        <f>VALUE(LEFT(M117,1))</f>
        <v>1</v>
      </c>
      <c r="M117" t="s">
        <v>490</v>
      </c>
      <c r="N117" t="s">
        <v>491</v>
      </c>
      <c r="O117" t="s">
        <v>552</v>
      </c>
    </row>
    <row r="118" spans="2:16">
      <c r="B118">
        <v>26</v>
      </c>
      <c r="C118">
        <v>4</v>
      </c>
      <c r="D118">
        <v>98</v>
      </c>
      <c r="E118">
        <v>90</v>
      </c>
      <c r="F118">
        <v>2265</v>
      </c>
      <c r="G118">
        <v>15.5</v>
      </c>
      <c r="H118">
        <v>73</v>
      </c>
      <c r="I118">
        <f>IF(L118=1,1,0)</f>
        <v>0</v>
      </c>
      <c r="J118">
        <f>IF(L118=2,1,0)</f>
        <v>1</v>
      </c>
      <c r="K118">
        <f>IF(L118=3,1,0)</f>
        <v>0</v>
      </c>
      <c r="L118">
        <f>VALUE(LEFT(M118,1))</f>
        <v>2</v>
      </c>
      <c r="M118" t="s">
        <v>496</v>
      </c>
      <c r="N118">
        <v>124</v>
      </c>
      <c r="O118" t="s">
        <v>553</v>
      </c>
      <c r="P118" t="s">
        <v>520</v>
      </c>
    </row>
    <row r="119" spans="2:16">
      <c r="B119">
        <v>15</v>
      </c>
      <c r="C119">
        <v>8</v>
      </c>
      <c r="D119">
        <v>350</v>
      </c>
      <c r="E119">
        <v>145</v>
      </c>
      <c r="F119">
        <v>4082</v>
      </c>
      <c r="G119">
        <v>13</v>
      </c>
      <c r="H119">
        <v>73</v>
      </c>
      <c r="I119">
        <f>IF(L119=1,1,0)</f>
        <v>1</v>
      </c>
      <c r="J119">
        <f>IF(L119=2,1,0)</f>
        <v>0</v>
      </c>
      <c r="K119">
        <f>IF(L119=3,1,0)</f>
        <v>0</v>
      </c>
      <c r="L119">
        <f>VALUE(LEFT(M119,1))</f>
        <v>1</v>
      </c>
      <c r="M119" t="s">
        <v>412</v>
      </c>
      <c r="N119" t="s">
        <v>439</v>
      </c>
      <c r="O119" t="s">
        <v>554</v>
      </c>
      <c r="P119" t="s">
        <v>555</v>
      </c>
    </row>
    <row r="120" spans="2:16">
      <c r="B120">
        <v>16</v>
      </c>
      <c r="C120">
        <v>8</v>
      </c>
      <c r="D120">
        <v>400</v>
      </c>
      <c r="E120">
        <v>230</v>
      </c>
      <c r="F120">
        <v>4278</v>
      </c>
      <c r="G120">
        <v>9.5</v>
      </c>
      <c r="H120">
        <v>73</v>
      </c>
      <c r="I120">
        <f>IF(L120=1,1,0)</f>
        <v>1</v>
      </c>
      <c r="J120">
        <f>IF(L120=2,1,0)</f>
        <v>0</v>
      </c>
      <c r="K120">
        <f>IF(L120=3,1,0)</f>
        <v>0</v>
      </c>
      <c r="L120">
        <f>VALUE(LEFT(M120,1))</f>
        <v>1</v>
      </c>
      <c r="M120" t="s">
        <v>430</v>
      </c>
      <c r="N120" t="s">
        <v>556</v>
      </c>
      <c r="O120" t="s">
        <v>557</v>
      </c>
    </row>
    <row r="121" spans="2:16">
      <c r="B121">
        <v>29</v>
      </c>
      <c r="C121">
        <v>4</v>
      </c>
      <c r="D121">
        <v>68</v>
      </c>
      <c r="E121">
        <v>49</v>
      </c>
      <c r="F121">
        <v>1867</v>
      </c>
      <c r="G121">
        <v>19.5</v>
      </c>
      <c r="H121">
        <v>73</v>
      </c>
      <c r="I121">
        <f>IF(L121=1,1,0)</f>
        <v>0</v>
      </c>
      <c r="J121">
        <f>IF(L121=2,1,0)</f>
        <v>1</v>
      </c>
      <c r="K121">
        <f>IF(L121=3,1,0)</f>
        <v>0</v>
      </c>
      <c r="L121">
        <f>VALUE(LEFT(M121,1))</f>
        <v>2</v>
      </c>
      <c r="M121" t="s">
        <v>496</v>
      </c>
      <c r="N121" t="s">
        <v>558</v>
      </c>
    </row>
    <row r="122" spans="2:16">
      <c r="B122">
        <v>24</v>
      </c>
      <c r="C122">
        <v>4</v>
      </c>
      <c r="D122">
        <v>116</v>
      </c>
      <c r="E122">
        <v>75</v>
      </c>
      <c r="F122">
        <v>2158</v>
      </c>
      <c r="G122">
        <v>15.5</v>
      </c>
      <c r="H122">
        <v>73</v>
      </c>
      <c r="I122">
        <f>IF(L122=1,1,0)</f>
        <v>0</v>
      </c>
      <c r="J122">
        <f>IF(L122=2,1,0)</f>
        <v>1</v>
      </c>
      <c r="K122">
        <f>IF(L122=3,1,0)</f>
        <v>0</v>
      </c>
      <c r="L122">
        <f>VALUE(LEFT(M122,1))</f>
        <v>2</v>
      </c>
      <c r="M122" t="s">
        <v>493</v>
      </c>
      <c r="N122" t="s">
        <v>559</v>
      </c>
    </row>
    <row r="123" spans="2:16">
      <c r="B123">
        <v>20</v>
      </c>
      <c r="C123">
        <v>4</v>
      </c>
      <c r="D123">
        <v>114</v>
      </c>
      <c r="E123">
        <v>91</v>
      </c>
      <c r="F123">
        <v>2582</v>
      </c>
      <c r="G123">
        <v>14</v>
      </c>
      <c r="H123">
        <v>73</v>
      </c>
      <c r="I123">
        <f>IF(L123=1,1,0)</f>
        <v>0</v>
      </c>
      <c r="J123">
        <f>IF(L123=2,1,0)</f>
        <v>1</v>
      </c>
      <c r="K123">
        <f>IF(L123=3,1,0)</f>
        <v>0</v>
      </c>
      <c r="L123">
        <f>VALUE(LEFT(M123,1))</f>
        <v>2</v>
      </c>
      <c r="M123" t="s">
        <v>458</v>
      </c>
      <c r="N123" t="s">
        <v>560</v>
      </c>
    </row>
    <row r="124" spans="2:16">
      <c r="B124">
        <v>19</v>
      </c>
      <c r="C124">
        <v>4</v>
      </c>
      <c r="D124">
        <v>121</v>
      </c>
      <c r="E124">
        <v>112</v>
      </c>
      <c r="F124">
        <v>2868</v>
      </c>
      <c r="G124">
        <v>15.5</v>
      </c>
      <c r="H124">
        <v>73</v>
      </c>
      <c r="I124">
        <f>IF(L124=1,1,0)</f>
        <v>0</v>
      </c>
      <c r="J124">
        <f>IF(L124=2,1,0)</f>
        <v>1</v>
      </c>
      <c r="K124">
        <f>IF(L124=3,1,0)</f>
        <v>0</v>
      </c>
      <c r="L124">
        <f>VALUE(LEFT(M124,1))</f>
        <v>2</v>
      </c>
      <c r="M124" t="s">
        <v>525</v>
      </c>
      <c r="N124" t="s">
        <v>561</v>
      </c>
    </row>
    <row r="125" spans="2:16">
      <c r="B125">
        <v>15</v>
      </c>
      <c r="C125">
        <v>8</v>
      </c>
      <c r="D125">
        <v>318</v>
      </c>
      <c r="E125">
        <v>150</v>
      </c>
      <c r="F125">
        <v>3399</v>
      </c>
      <c r="G125">
        <v>11</v>
      </c>
      <c r="H125">
        <v>73</v>
      </c>
      <c r="I125">
        <f>IF(L125=1,1,0)</f>
        <v>1</v>
      </c>
      <c r="J125">
        <f>IF(L125=2,1,0)</f>
        <v>0</v>
      </c>
      <c r="K125">
        <f>IF(L125=3,1,0)</f>
        <v>0</v>
      </c>
      <c r="L125">
        <f>VALUE(LEFT(M125,1))</f>
        <v>1</v>
      </c>
      <c r="M125" t="s">
        <v>434</v>
      </c>
      <c r="N125" t="s">
        <v>562</v>
      </c>
      <c r="O125" t="s">
        <v>477</v>
      </c>
    </row>
    <row r="126" spans="2:16">
      <c r="B126">
        <v>24</v>
      </c>
      <c r="C126">
        <v>4</v>
      </c>
      <c r="D126">
        <v>121</v>
      </c>
      <c r="E126">
        <v>110</v>
      </c>
      <c r="F126">
        <v>2660</v>
      </c>
      <c r="G126">
        <v>14</v>
      </c>
      <c r="H126">
        <v>73</v>
      </c>
      <c r="I126">
        <f>IF(L126=1,1,0)</f>
        <v>0</v>
      </c>
      <c r="J126">
        <f>IF(L126=2,1,0)</f>
        <v>1</v>
      </c>
      <c r="K126">
        <f>IF(L126=3,1,0)</f>
        <v>0</v>
      </c>
      <c r="L126">
        <f>VALUE(LEFT(M126,1))</f>
        <v>2</v>
      </c>
      <c r="M126" t="s">
        <v>460</v>
      </c>
      <c r="N126" t="s">
        <v>563</v>
      </c>
    </row>
    <row r="127" spans="2:16">
      <c r="B127">
        <v>20</v>
      </c>
      <c r="C127">
        <v>6</v>
      </c>
      <c r="D127">
        <v>156</v>
      </c>
      <c r="E127">
        <v>122</v>
      </c>
      <c r="F127">
        <v>2807</v>
      </c>
      <c r="G127">
        <v>13.5</v>
      </c>
      <c r="H127">
        <v>73</v>
      </c>
      <c r="I127">
        <f>IF(L127=1,1,0)</f>
        <v>0</v>
      </c>
      <c r="J127">
        <f>IF(L127=2,1,0)</f>
        <v>0</v>
      </c>
      <c r="K127">
        <f>IF(L127=3,1,0)</f>
        <v>1</v>
      </c>
      <c r="L127">
        <f>VALUE(LEFT(M127,1))</f>
        <v>3</v>
      </c>
      <c r="M127" t="s">
        <v>444</v>
      </c>
      <c r="N127" t="s">
        <v>446</v>
      </c>
      <c r="O127" t="s">
        <v>447</v>
      </c>
    </row>
    <row r="128" spans="2:16">
      <c r="B128" s="2">
        <v>11</v>
      </c>
      <c r="C128">
        <v>8</v>
      </c>
      <c r="D128">
        <v>350</v>
      </c>
      <c r="E128">
        <v>180</v>
      </c>
      <c r="F128">
        <v>3664</v>
      </c>
      <c r="G128">
        <v>11</v>
      </c>
      <c r="H128">
        <v>73</v>
      </c>
      <c r="I128">
        <f>IF(L128=1,1,0)</f>
        <v>1</v>
      </c>
      <c r="J128">
        <f>IF(L128=2,1,0)</f>
        <v>0</v>
      </c>
      <c r="K128">
        <f>IF(L128=3,1,0)</f>
        <v>0</v>
      </c>
      <c r="L128">
        <f>VALUE(LEFT(M128,1))</f>
        <v>1</v>
      </c>
      <c r="M128" t="s">
        <v>512</v>
      </c>
      <c r="N128" t="s">
        <v>564</v>
      </c>
    </row>
    <row r="129" spans="2:16">
      <c r="B129">
        <v>20</v>
      </c>
      <c r="C129">
        <v>6</v>
      </c>
      <c r="D129">
        <v>198</v>
      </c>
      <c r="E129">
        <v>95</v>
      </c>
      <c r="F129">
        <v>3102</v>
      </c>
      <c r="G129">
        <v>16.5</v>
      </c>
      <c r="H129">
        <v>74</v>
      </c>
      <c r="I129">
        <f>IF(L129=1,1,0)</f>
        <v>1</v>
      </c>
      <c r="J129">
        <f>IF(L129=2,1,0)</f>
        <v>0</v>
      </c>
      <c r="K129">
        <f>IF(L129=3,1,0)</f>
        <v>0</v>
      </c>
      <c r="L129">
        <f>VALUE(LEFT(M129,1))</f>
        <v>1</v>
      </c>
      <c r="M129" t="s">
        <v>418</v>
      </c>
      <c r="N129" t="s">
        <v>448</v>
      </c>
    </row>
    <row r="130" spans="2:16">
      <c r="B130">
        <v>21</v>
      </c>
      <c r="C130">
        <v>6</v>
      </c>
      <c r="D130">
        <v>200</v>
      </c>
      <c r="E130" t="s">
        <v>474</v>
      </c>
      <c r="F130">
        <v>2875</v>
      </c>
      <c r="G130">
        <v>17</v>
      </c>
      <c r="H130">
        <v>74</v>
      </c>
      <c r="I130">
        <f>IF(L130=1,1,0)</f>
        <v>1</v>
      </c>
      <c r="J130">
        <f>IF(L130=2,1,0)</f>
        <v>0</v>
      </c>
      <c r="K130">
        <f>IF(L130=3,1,0)</f>
        <v>0</v>
      </c>
      <c r="L130">
        <f>VALUE(LEFT(M130,1))</f>
        <v>1</v>
      </c>
      <c r="M130" t="s">
        <v>423</v>
      </c>
      <c r="N130" t="s">
        <v>450</v>
      </c>
    </row>
    <row r="131" spans="2:16">
      <c r="B131">
        <v>19</v>
      </c>
      <c r="C131">
        <v>6</v>
      </c>
      <c r="D131">
        <v>232</v>
      </c>
      <c r="E131">
        <v>100</v>
      </c>
      <c r="F131">
        <v>2901</v>
      </c>
      <c r="G131">
        <v>16</v>
      </c>
      <c r="H131">
        <v>74</v>
      </c>
      <c r="I131">
        <f>IF(L131=1,1,0)</f>
        <v>1</v>
      </c>
      <c r="J131">
        <f>IF(L131=2,1,0)</f>
        <v>0</v>
      </c>
      <c r="K131">
        <f>IF(L131=3,1,0)</f>
        <v>0</v>
      </c>
      <c r="L131">
        <f>VALUE(LEFT(M131,1))</f>
        <v>1</v>
      </c>
      <c r="M131" t="s">
        <v>420</v>
      </c>
      <c r="N131" t="s">
        <v>449</v>
      </c>
    </row>
    <row r="132" spans="2:16">
      <c r="B132">
        <v>15</v>
      </c>
      <c r="C132">
        <v>6</v>
      </c>
      <c r="D132">
        <v>250</v>
      </c>
      <c r="E132">
        <v>100</v>
      </c>
      <c r="F132">
        <v>3336</v>
      </c>
      <c r="G132">
        <v>17</v>
      </c>
      <c r="H132">
        <v>74</v>
      </c>
      <c r="I132">
        <f>IF(L132=1,1,0)</f>
        <v>1</v>
      </c>
      <c r="J132">
        <f>IF(L132=2,1,0)</f>
        <v>0</v>
      </c>
      <c r="K132">
        <f>IF(L132=3,1,0)</f>
        <v>0</v>
      </c>
      <c r="L132">
        <f>VALUE(LEFT(M132,1))</f>
        <v>1</v>
      </c>
      <c r="M132" t="s">
        <v>412</v>
      </c>
      <c r="N132" t="s">
        <v>565</v>
      </c>
    </row>
    <row r="133" spans="2:16">
      <c r="B133">
        <v>31</v>
      </c>
      <c r="C133">
        <v>4</v>
      </c>
      <c r="D133">
        <v>79</v>
      </c>
      <c r="E133">
        <v>67</v>
      </c>
      <c r="F133">
        <v>1950</v>
      </c>
      <c r="G133">
        <v>19</v>
      </c>
      <c r="H133">
        <v>74</v>
      </c>
      <c r="I133">
        <f>IF(L133=1,1,0)</f>
        <v>0</v>
      </c>
      <c r="J133">
        <f>IF(L133=2,1,0)</f>
        <v>0</v>
      </c>
      <c r="K133">
        <f>IF(L133=3,1,0)</f>
        <v>1</v>
      </c>
      <c r="L133">
        <f>VALUE(LEFT(M133,1))</f>
        <v>3</v>
      </c>
      <c r="M133" t="s">
        <v>451</v>
      </c>
      <c r="N133" t="s">
        <v>566</v>
      </c>
    </row>
    <row r="134" spans="2:16">
      <c r="B134">
        <v>26</v>
      </c>
      <c r="C134">
        <v>4</v>
      </c>
      <c r="D134">
        <v>122</v>
      </c>
      <c r="E134">
        <v>80</v>
      </c>
      <c r="F134">
        <v>2451</v>
      </c>
      <c r="G134">
        <v>16.5</v>
      </c>
      <c r="H134">
        <v>74</v>
      </c>
      <c r="I134">
        <f>IF(L134=1,1,0)</f>
        <v>1</v>
      </c>
      <c r="J134">
        <f>IF(L134=2,1,0)</f>
        <v>0</v>
      </c>
      <c r="K134">
        <f>IF(L134=3,1,0)</f>
        <v>0</v>
      </c>
      <c r="L134">
        <f>VALUE(LEFT(M134,1))</f>
        <v>1</v>
      </c>
      <c r="M134" t="s">
        <v>423</v>
      </c>
      <c r="N134" t="s">
        <v>475</v>
      </c>
    </row>
    <row r="135" spans="2:16">
      <c r="B135">
        <v>32</v>
      </c>
      <c r="C135">
        <v>4</v>
      </c>
      <c r="D135">
        <v>71</v>
      </c>
      <c r="E135">
        <v>65</v>
      </c>
      <c r="F135">
        <v>1836</v>
      </c>
      <c r="G135">
        <v>21</v>
      </c>
      <c r="H135">
        <v>74</v>
      </c>
      <c r="I135">
        <f>IF(L135=1,1,0)</f>
        <v>0</v>
      </c>
      <c r="J135">
        <f>IF(L135=2,1,0)</f>
        <v>0</v>
      </c>
      <c r="K135">
        <f>IF(L135=3,1,0)</f>
        <v>1</v>
      </c>
      <c r="L135">
        <f>VALUE(LEFT(M135,1))</f>
        <v>3</v>
      </c>
      <c r="M135" t="s">
        <v>444</v>
      </c>
      <c r="N135" t="s">
        <v>498</v>
      </c>
      <c r="O135" t="s">
        <v>499</v>
      </c>
    </row>
    <row r="136" spans="2:16">
      <c r="B136">
        <v>25</v>
      </c>
      <c r="C136">
        <v>4</v>
      </c>
      <c r="D136">
        <v>140</v>
      </c>
      <c r="E136">
        <v>75</v>
      </c>
      <c r="F136">
        <v>2542</v>
      </c>
      <c r="G136">
        <v>17</v>
      </c>
      <c r="H136">
        <v>74</v>
      </c>
      <c r="I136">
        <f>IF(L136=1,1,0)</f>
        <v>1</v>
      </c>
      <c r="J136">
        <f>IF(L136=2,1,0)</f>
        <v>0</v>
      </c>
      <c r="K136">
        <f>IF(L136=3,1,0)</f>
        <v>0</v>
      </c>
      <c r="L136">
        <f>VALUE(LEFT(M136,1))</f>
        <v>1</v>
      </c>
      <c r="M136" t="s">
        <v>412</v>
      </c>
      <c r="N136" t="s">
        <v>507</v>
      </c>
    </row>
    <row r="137" spans="2:16">
      <c r="B137">
        <v>16</v>
      </c>
      <c r="C137">
        <v>6</v>
      </c>
      <c r="D137">
        <v>250</v>
      </c>
      <c r="E137">
        <v>100</v>
      </c>
      <c r="F137">
        <v>3781</v>
      </c>
      <c r="G137">
        <v>17</v>
      </c>
      <c r="H137">
        <v>74</v>
      </c>
      <c r="I137">
        <f>IF(L137=1,1,0)</f>
        <v>1</v>
      </c>
      <c r="J137">
        <f>IF(L137=2,1,0)</f>
        <v>0</v>
      </c>
      <c r="K137">
        <f>IF(L137=3,1,0)</f>
        <v>0</v>
      </c>
      <c r="L137">
        <f>VALUE(LEFT(M137,1))</f>
        <v>1</v>
      </c>
      <c r="M137" t="s">
        <v>412</v>
      </c>
      <c r="N137" t="s">
        <v>413</v>
      </c>
      <c r="O137" t="s">
        <v>567</v>
      </c>
      <c r="P137" t="s">
        <v>535</v>
      </c>
    </row>
    <row r="138" spans="2:16">
      <c r="B138">
        <v>16</v>
      </c>
      <c r="C138">
        <v>6</v>
      </c>
      <c r="D138">
        <v>258</v>
      </c>
      <c r="E138">
        <v>110</v>
      </c>
      <c r="F138">
        <v>3632</v>
      </c>
      <c r="G138">
        <v>18</v>
      </c>
      <c r="H138">
        <v>74</v>
      </c>
      <c r="I138">
        <f>IF(L138=1,1,0)</f>
        <v>1</v>
      </c>
      <c r="J138">
        <f>IF(L138=2,1,0)</f>
        <v>0</v>
      </c>
      <c r="K138">
        <f>IF(L138=3,1,0)</f>
        <v>0</v>
      </c>
      <c r="L138">
        <f>VALUE(LEFT(M138,1))</f>
        <v>1</v>
      </c>
      <c r="M138" t="s">
        <v>420</v>
      </c>
      <c r="N138" t="s">
        <v>479</v>
      </c>
    </row>
    <row r="139" spans="2:16">
      <c r="B139">
        <v>18</v>
      </c>
      <c r="C139">
        <v>6</v>
      </c>
      <c r="D139">
        <v>225</v>
      </c>
      <c r="E139">
        <v>105</v>
      </c>
      <c r="F139">
        <v>3613</v>
      </c>
      <c r="G139">
        <v>16.5</v>
      </c>
      <c r="H139">
        <v>74</v>
      </c>
      <c r="I139">
        <f>IF(L139=1,1,0)</f>
        <v>1</v>
      </c>
      <c r="J139">
        <f>IF(L139=2,1,0)</f>
        <v>0</v>
      </c>
      <c r="K139">
        <f>IF(L139=3,1,0)</f>
        <v>0</v>
      </c>
      <c r="L139">
        <f>VALUE(LEFT(M139,1))</f>
        <v>1</v>
      </c>
      <c r="M139" t="s">
        <v>418</v>
      </c>
      <c r="N139" t="s">
        <v>476</v>
      </c>
      <c r="O139" t="s">
        <v>568</v>
      </c>
    </row>
    <row r="140" spans="2:16">
      <c r="B140" s="2">
        <v>16</v>
      </c>
      <c r="C140">
        <v>8</v>
      </c>
      <c r="D140">
        <v>302</v>
      </c>
      <c r="E140">
        <v>140</v>
      </c>
      <c r="F140">
        <v>4141</v>
      </c>
      <c r="G140">
        <v>14</v>
      </c>
      <c r="H140">
        <v>74</v>
      </c>
      <c r="I140">
        <f>IF(L140=1,1,0)</f>
        <v>1</v>
      </c>
      <c r="J140">
        <f>IF(L140=2,1,0)</f>
        <v>0</v>
      </c>
      <c r="K140">
        <f>IF(L140=3,1,0)</f>
        <v>0</v>
      </c>
      <c r="L140">
        <f>VALUE(LEFT(M140,1))</f>
        <v>1</v>
      </c>
      <c r="M140" t="s">
        <v>423</v>
      </c>
      <c r="N140" t="s">
        <v>523</v>
      </c>
      <c r="O140" t="s">
        <v>424</v>
      </c>
    </row>
    <row r="141" spans="2:16">
      <c r="B141">
        <v>13</v>
      </c>
      <c r="C141">
        <v>8</v>
      </c>
      <c r="D141">
        <v>350</v>
      </c>
      <c r="E141">
        <v>150</v>
      </c>
      <c r="F141">
        <v>4699</v>
      </c>
      <c r="G141">
        <v>14.5</v>
      </c>
      <c r="H141">
        <v>74</v>
      </c>
      <c r="I141">
        <f>IF(L141=1,1,0)</f>
        <v>1</v>
      </c>
      <c r="J141">
        <f>IF(L141=2,1,0)</f>
        <v>0</v>
      </c>
      <c r="K141">
        <f>IF(L141=3,1,0)</f>
        <v>0</v>
      </c>
      <c r="L141">
        <f>VALUE(LEFT(M141,1))</f>
        <v>1</v>
      </c>
      <c r="M141" t="s">
        <v>415</v>
      </c>
      <c r="N141" t="s">
        <v>530</v>
      </c>
      <c r="O141" t="s">
        <v>569</v>
      </c>
      <c r="P141" t="s">
        <v>443</v>
      </c>
    </row>
    <row r="142" spans="2:16">
      <c r="B142">
        <v>14</v>
      </c>
      <c r="C142">
        <v>8</v>
      </c>
      <c r="D142">
        <v>318</v>
      </c>
      <c r="E142">
        <v>150</v>
      </c>
      <c r="F142">
        <v>4457</v>
      </c>
      <c r="G142">
        <v>13.5</v>
      </c>
      <c r="H142">
        <v>74</v>
      </c>
      <c r="I142">
        <f>IF(L142=1,1,0)</f>
        <v>1</v>
      </c>
      <c r="J142">
        <f>IF(L142=2,1,0)</f>
        <v>0</v>
      </c>
      <c r="K142">
        <f>IF(L142=3,1,0)</f>
        <v>0</v>
      </c>
      <c r="L142">
        <f>VALUE(LEFT(M142,1))</f>
        <v>1</v>
      </c>
      <c r="M142" t="s">
        <v>434</v>
      </c>
      <c r="N142" t="s">
        <v>532</v>
      </c>
      <c r="O142" t="s">
        <v>524</v>
      </c>
      <c r="P142" t="s">
        <v>443</v>
      </c>
    </row>
    <row r="143" spans="2:16">
      <c r="B143">
        <v>14</v>
      </c>
      <c r="C143">
        <v>8</v>
      </c>
      <c r="D143">
        <v>302</v>
      </c>
      <c r="E143">
        <v>140</v>
      </c>
      <c r="F143">
        <v>4638</v>
      </c>
      <c r="G143">
        <v>16</v>
      </c>
      <c r="H143">
        <v>74</v>
      </c>
      <c r="I143">
        <f>IF(L143=1,1,0)</f>
        <v>1</v>
      </c>
      <c r="J143">
        <f>IF(L143=2,1,0)</f>
        <v>0</v>
      </c>
      <c r="K143">
        <f>IF(L143=3,1,0)</f>
        <v>0</v>
      </c>
      <c r="L143">
        <f>VALUE(LEFT(M143,1))</f>
        <v>1</v>
      </c>
      <c r="M143" t="s">
        <v>423</v>
      </c>
      <c r="N143" t="s">
        <v>523</v>
      </c>
      <c r="O143" t="s">
        <v>478</v>
      </c>
      <c r="P143" t="s">
        <v>443</v>
      </c>
    </row>
    <row r="144" spans="2:16">
      <c r="B144">
        <v>14</v>
      </c>
      <c r="C144">
        <v>8</v>
      </c>
      <c r="D144">
        <v>304</v>
      </c>
      <c r="E144">
        <v>150</v>
      </c>
      <c r="F144">
        <v>4257</v>
      </c>
      <c r="G144">
        <v>15.5</v>
      </c>
      <c r="H144">
        <v>74</v>
      </c>
      <c r="I144">
        <f>IF(L144=1,1,0)</f>
        <v>1</v>
      </c>
      <c r="J144">
        <f>IF(L144=2,1,0)</f>
        <v>0</v>
      </c>
      <c r="K144">
        <f>IF(L144=3,1,0)</f>
        <v>0</v>
      </c>
      <c r="L144">
        <f>VALUE(LEFT(M144,1))</f>
        <v>1</v>
      </c>
      <c r="M144" t="s">
        <v>420</v>
      </c>
      <c r="N144" t="s">
        <v>521</v>
      </c>
      <c r="O144" t="s">
        <v>443</v>
      </c>
    </row>
    <row r="145" spans="2:15">
      <c r="B145">
        <v>29</v>
      </c>
      <c r="C145">
        <v>4</v>
      </c>
      <c r="D145">
        <v>98</v>
      </c>
      <c r="E145">
        <v>83</v>
      </c>
      <c r="F145">
        <v>2219</v>
      </c>
      <c r="G145">
        <v>16.5</v>
      </c>
      <c r="H145">
        <v>74</v>
      </c>
      <c r="I145">
        <f>IF(L145=1,1,0)</f>
        <v>0</v>
      </c>
      <c r="J145">
        <f>IF(L145=2,1,0)</f>
        <v>1</v>
      </c>
      <c r="K145">
        <f>IF(L145=3,1,0)</f>
        <v>0</v>
      </c>
      <c r="L145">
        <f>VALUE(LEFT(M145,1))</f>
        <v>2</v>
      </c>
      <c r="M145" t="s">
        <v>458</v>
      </c>
      <c r="N145" t="s">
        <v>570</v>
      </c>
    </row>
    <row r="146" spans="2:15">
      <c r="B146">
        <v>26</v>
      </c>
      <c r="C146">
        <v>4</v>
      </c>
      <c r="D146">
        <v>79</v>
      </c>
      <c r="E146">
        <v>67</v>
      </c>
      <c r="F146">
        <v>1963</v>
      </c>
      <c r="G146">
        <v>15.5</v>
      </c>
      <c r="H146">
        <v>74</v>
      </c>
      <c r="I146">
        <f>IF(L146=1,1,0)</f>
        <v>0</v>
      </c>
      <c r="J146">
        <f>IF(L146=2,1,0)</f>
        <v>1</v>
      </c>
      <c r="K146">
        <f>IF(L146=3,1,0)</f>
        <v>0</v>
      </c>
      <c r="L146">
        <f>VALUE(LEFT(M146,1))</f>
        <v>2</v>
      </c>
      <c r="M146" t="s">
        <v>453</v>
      </c>
      <c r="N146" t="s">
        <v>571</v>
      </c>
    </row>
    <row r="147" spans="2:15">
      <c r="B147">
        <v>26</v>
      </c>
      <c r="C147">
        <v>4</v>
      </c>
      <c r="D147">
        <v>97</v>
      </c>
      <c r="E147">
        <v>78</v>
      </c>
      <c r="F147">
        <v>2300</v>
      </c>
      <c r="G147">
        <v>14.5</v>
      </c>
      <c r="H147">
        <v>74</v>
      </c>
      <c r="I147">
        <f>IF(L147=1,1,0)</f>
        <v>0</v>
      </c>
      <c r="J147">
        <f>IF(L147=2,1,0)</f>
        <v>1</v>
      </c>
      <c r="K147">
        <f>IF(L147=3,1,0)</f>
        <v>0</v>
      </c>
      <c r="L147">
        <f>VALUE(LEFT(M147,1))</f>
        <v>2</v>
      </c>
      <c r="M147" t="s">
        <v>493</v>
      </c>
      <c r="N147" t="s">
        <v>559</v>
      </c>
    </row>
    <row r="148" spans="2:15">
      <c r="B148">
        <v>31</v>
      </c>
      <c r="C148">
        <v>4</v>
      </c>
      <c r="D148">
        <v>76</v>
      </c>
      <c r="E148">
        <v>52</v>
      </c>
      <c r="F148">
        <v>1649</v>
      </c>
      <c r="G148">
        <v>16.5</v>
      </c>
      <c r="H148">
        <v>74</v>
      </c>
      <c r="I148">
        <f>IF(L148=1,1,0)</f>
        <v>0</v>
      </c>
      <c r="J148">
        <f>IF(L148=2,1,0)</f>
        <v>0</v>
      </c>
      <c r="K148">
        <f>IF(L148=3,1,0)</f>
        <v>1</v>
      </c>
      <c r="L148">
        <f>VALUE(LEFT(M148,1))</f>
        <v>3</v>
      </c>
      <c r="M148" t="s">
        <v>444</v>
      </c>
      <c r="N148" t="s">
        <v>473</v>
      </c>
    </row>
    <row r="149" spans="2:15">
      <c r="B149">
        <v>32</v>
      </c>
      <c r="C149">
        <v>4</v>
      </c>
      <c r="D149">
        <v>83</v>
      </c>
      <c r="E149">
        <v>61</v>
      </c>
      <c r="F149">
        <v>2003</v>
      </c>
      <c r="G149">
        <v>19</v>
      </c>
      <c r="H149">
        <v>74</v>
      </c>
      <c r="I149">
        <f>IF(L149=1,1,0)</f>
        <v>0</v>
      </c>
      <c r="J149">
        <f>IF(L149=2,1,0)</f>
        <v>0</v>
      </c>
      <c r="K149">
        <f>IF(L149=3,1,0)</f>
        <v>1</v>
      </c>
      <c r="L149">
        <f>VALUE(LEFT(M149,1))</f>
        <v>3</v>
      </c>
      <c r="M149" t="s">
        <v>451</v>
      </c>
      <c r="N149" t="s">
        <v>572</v>
      </c>
    </row>
    <row r="150" spans="2:15">
      <c r="B150">
        <v>28</v>
      </c>
      <c r="C150">
        <v>4</v>
      </c>
      <c r="D150">
        <v>90</v>
      </c>
      <c r="E150">
        <v>75</v>
      </c>
      <c r="F150">
        <v>2125</v>
      </c>
      <c r="G150">
        <v>14.5</v>
      </c>
      <c r="H150">
        <v>74</v>
      </c>
      <c r="I150">
        <f>IF(L150=1,1,0)</f>
        <v>1</v>
      </c>
      <c r="J150">
        <f>IF(L150=2,1,0)</f>
        <v>0</v>
      </c>
      <c r="K150">
        <f>IF(L150=3,1,0)</f>
        <v>0</v>
      </c>
      <c r="L150">
        <f>VALUE(LEFT(M150,1))</f>
        <v>1</v>
      </c>
      <c r="M150" t="s">
        <v>434</v>
      </c>
      <c r="N150" t="s">
        <v>573</v>
      </c>
    </row>
    <row r="151" spans="2:15">
      <c r="B151">
        <v>24</v>
      </c>
      <c r="C151">
        <v>4</v>
      </c>
      <c r="D151">
        <v>90</v>
      </c>
      <c r="E151">
        <v>75</v>
      </c>
      <c r="F151">
        <v>2108</v>
      </c>
      <c r="G151">
        <v>15.5</v>
      </c>
      <c r="H151">
        <v>74</v>
      </c>
      <c r="I151">
        <f>IF(L151=1,1,0)</f>
        <v>0</v>
      </c>
      <c r="J151">
        <f>IF(L151=2,1,0)</f>
        <v>1</v>
      </c>
      <c r="K151">
        <f>IF(L151=3,1,0)</f>
        <v>0</v>
      </c>
      <c r="L151">
        <f>VALUE(LEFT(M151,1))</f>
        <v>2</v>
      </c>
      <c r="M151" t="s">
        <v>496</v>
      </c>
      <c r="N151" t="s">
        <v>558</v>
      </c>
    </row>
    <row r="152" spans="2:15">
      <c r="B152">
        <v>26</v>
      </c>
      <c r="C152">
        <v>4</v>
      </c>
      <c r="D152">
        <v>116</v>
      </c>
      <c r="E152">
        <v>75</v>
      </c>
      <c r="F152">
        <v>2246</v>
      </c>
      <c r="G152">
        <v>14</v>
      </c>
      <c r="H152">
        <v>74</v>
      </c>
      <c r="I152">
        <f>IF(L152=1,1,0)</f>
        <v>0</v>
      </c>
      <c r="J152">
        <f>IF(L152=2,1,0)</f>
        <v>1</v>
      </c>
      <c r="K152">
        <f>IF(L152=3,1,0)</f>
        <v>0</v>
      </c>
      <c r="L152">
        <f>VALUE(LEFT(M152,1))</f>
        <v>2</v>
      </c>
      <c r="M152" t="s">
        <v>496</v>
      </c>
      <c r="N152">
        <v>124</v>
      </c>
      <c r="O152" t="s">
        <v>574</v>
      </c>
    </row>
    <row r="153" spans="2:15">
      <c r="B153">
        <v>24</v>
      </c>
      <c r="C153">
        <v>4</v>
      </c>
      <c r="D153">
        <v>120</v>
      </c>
      <c r="E153">
        <v>97</v>
      </c>
      <c r="F153">
        <v>2489</v>
      </c>
      <c r="G153">
        <v>15</v>
      </c>
      <c r="H153">
        <v>74</v>
      </c>
      <c r="I153">
        <f>IF(L153=1,1,0)</f>
        <v>0</v>
      </c>
      <c r="J153">
        <f>IF(L153=2,1,0)</f>
        <v>0</v>
      </c>
      <c r="K153">
        <f>IF(L153=3,1,0)</f>
        <v>1</v>
      </c>
      <c r="L153">
        <f>VALUE(LEFT(M153,1))</f>
        <v>3</v>
      </c>
      <c r="M153" t="s">
        <v>575</v>
      </c>
      <c r="N153" t="s">
        <v>576</v>
      </c>
    </row>
    <row r="154" spans="2:15">
      <c r="B154">
        <v>26</v>
      </c>
      <c r="C154">
        <v>4</v>
      </c>
      <c r="D154">
        <v>108</v>
      </c>
      <c r="E154">
        <v>93</v>
      </c>
      <c r="F154">
        <v>2391</v>
      </c>
      <c r="G154">
        <v>15.5</v>
      </c>
      <c r="H154">
        <v>74</v>
      </c>
      <c r="I154">
        <f>IF(L154=1,1,0)</f>
        <v>0</v>
      </c>
      <c r="J154">
        <f>IF(L154=2,1,0)</f>
        <v>0</v>
      </c>
      <c r="K154">
        <f>IF(L154=3,1,0)</f>
        <v>1</v>
      </c>
      <c r="L154">
        <f>VALUE(LEFT(M154,1))</f>
        <v>3</v>
      </c>
      <c r="M154" t="s">
        <v>577</v>
      </c>
    </row>
    <row r="155" spans="2:15">
      <c r="B155">
        <v>31</v>
      </c>
      <c r="C155">
        <v>4</v>
      </c>
      <c r="D155">
        <v>79</v>
      </c>
      <c r="E155">
        <v>67</v>
      </c>
      <c r="F155">
        <v>2000</v>
      </c>
      <c r="G155">
        <v>16</v>
      </c>
      <c r="H155">
        <v>74</v>
      </c>
      <c r="I155">
        <f>IF(L155=1,1,0)</f>
        <v>0</v>
      </c>
      <c r="J155">
        <f>IF(L155=2,1,0)</f>
        <v>1</v>
      </c>
      <c r="K155">
        <f>IF(L155=3,1,0)</f>
        <v>0</v>
      </c>
      <c r="L155">
        <f>VALUE(LEFT(M155,1))</f>
        <v>2</v>
      </c>
      <c r="M155" t="s">
        <v>496</v>
      </c>
      <c r="N155" t="s">
        <v>578</v>
      </c>
    </row>
    <row r="156" spans="2:15">
      <c r="B156">
        <v>19</v>
      </c>
      <c r="C156">
        <v>6</v>
      </c>
      <c r="D156">
        <v>225</v>
      </c>
      <c r="E156">
        <v>95</v>
      </c>
      <c r="F156">
        <v>3264</v>
      </c>
      <c r="G156">
        <v>16</v>
      </c>
      <c r="H156">
        <v>75</v>
      </c>
      <c r="I156">
        <f>IF(L156=1,1,0)</f>
        <v>1</v>
      </c>
      <c r="J156">
        <f>IF(L156=2,1,0)</f>
        <v>0</v>
      </c>
      <c r="K156">
        <f>IF(L156=3,1,0)</f>
        <v>0</v>
      </c>
      <c r="L156">
        <f>VALUE(LEFT(M156,1))</f>
        <v>1</v>
      </c>
      <c r="M156" t="s">
        <v>418</v>
      </c>
      <c r="N156" t="s">
        <v>579</v>
      </c>
      <c r="O156" t="s">
        <v>477</v>
      </c>
    </row>
    <row r="157" spans="2:15">
      <c r="B157">
        <v>18</v>
      </c>
      <c r="C157">
        <v>6</v>
      </c>
      <c r="D157">
        <v>250</v>
      </c>
      <c r="E157">
        <v>105</v>
      </c>
      <c r="F157">
        <v>3459</v>
      </c>
      <c r="G157">
        <v>16</v>
      </c>
      <c r="H157">
        <v>75</v>
      </c>
      <c r="I157">
        <f>IF(L157=1,1,0)</f>
        <v>1</v>
      </c>
      <c r="J157">
        <f>IF(L157=2,1,0)</f>
        <v>0</v>
      </c>
      <c r="K157">
        <f>IF(L157=3,1,0)</f>
        <v>0</v>
      </c>
      <c r="L157">
        <f>VALUE(LEFT(M157,1))</f>
        <v>1</v>
      </c>
      <c r="M157" t="s">
        <v>412</v>
      </c>
      <c r="N157" t="s">
        <v>565</v>
      </c>
    </row>
    <row r="158" spans="2:15">
      <c r="B158">
        <v>15</v>
      </c>
      <c r="C158">
        <v>6</v>
      </c>
      <c r="D158">
        <v>250</v>
      </c>
      <c r="E158">
        <v>72</v>
      </c>
      <c r="F158">
        <v>3432</v>
      </c>
      <c r="G158">
        <v>21</v>
      </c>
      <c r="H158">
        <v>75</v>
      </c>
      <c r="I158">
        <f>IF(L158=1,1,0)</f>
        <v>1</v>
      </c>
      <c r="J158">
        <f>IF(L158=2,1,0)</f>
        <v>0</v>
      </c>
      <c r="K158">
        <f>IF(L158=3,1,0)</f>
        <v>0</v>
      </c>
      <c r="L158">
        <f>VALUE(LEFT(M158,1))</f>
        <v>1</v>
      </c>
      <c r="M158" t="s">
        <v>490</v>
      </c>
      <c r="N158" t="s">
        <v>580</v>
      </c>
    </row>
    <row r="159" spans="2:15">
      <c r="B159">
        <v>15</v>
      </c>
      <c r="C159">
        <v>6</v>
      </c>
      <c r="D159">
        <v>250</v>
      </c>
      <c r="E159">
        <v>72</v>
      </c>
      <c r="F159">
        <v>3158</v>
      </c>
      <c r="G159">
        <v>19.5</v>
      </c>
      <c r="H159">
        <v>75</v>
      </c>
      <c r="I159">
        <f>IF(L159=1,1,0)</f>
        <v>1</v>
      </c>
      <c r="J159">
        <f>IF(L159=2,1,0)</f>
        <v>0</v>
      </c>
      <c r="K159">
        <f>IF(L159=3,1,0)</f>
        <v>0</v>
      </c>
      <c r="L159">
        <f>VALUE(LEFT(M159,1))</f>
        <v>1</v>
      </c>
      <c r="M159" t="s">
        <v>423</v>
      </c>
      <c r="N159" t="s">
        <v>450</v>
      </c>
    </row>
    <row r="160" spans="2:15">
      <c r="B160">
        <v>16</v>
      </c>
      <c r="C160">
        <v>8</v>
      </c>
      <c r="D160">
        <v>400</v>
      </c>
      <c r="E160">
        <v>170</v>
      </c>
      <c r="F160">
        <v>4668</v>
      </c>
      <c r="G160">
        <v>11.5</v>
      </c>
      <c r="H160">
        <v>75</v>
      </c>
      <c r="I160">
        <f>IF(L160=1,1,0)</f>
        <v>1</v>
      </c>
      <c r="J160">
        <f>IF(L160=2,1,0)</f>
        <v>0</v>
      </c>
      <c r="K160">
        <f>IF(L160=3,1,0)</f>
        <v>0</v>
      </c>
      <c r="L160">
        <f>VALUE(LEFT(M160,1))</f>
        <v>1</v>
      </c>
      <c r="M160" t="s">
        <v>430</v>
      </c>
      <c r="N160" t="s">
        <v>431</v>
      </c>
    </row>
    <row r="161" spans="2:15">
      <c r="B161">
        <v>15</v>
      </c>
      <c r="C161">
        <v>8</v>
      </c>
      <c r="D161">
        <v>350</v>
      </c>
      <c r="E161">
        <v>145</v>
      </c>
      <c r="F161">
        <v>4440</v>
      </c>
      <c r="G161">
        <v>14</v>
      </c>
      <c r="H161">
        <v>75</v>
      </c>
      <c r="I161">
        <f>IF(L161=1,1,0)</f>
        <v>1</v>
      </c>
      <c r="J161">
        <f>IF(L161=2,1,0)</f>
        <v>0</v>
      </c>
      <c r="K161">
        <f>IF(L161=3,1,0)</f>
        <v>0</v>
      </c>
      <c r="L161">
        <f>VALUE(LEFT(M161,1))</f>
        <v>1</v>
      </c>
      <c r="M161" t="s">
        <v>412</v>
      </c>
      <c r="N161" t="s">
        <v>581</v>
      </c>
      <c r="O161" t="s">
        <v>582</v>
      </c>
    </row>
    <row r="162" spans="2:15">
      <c r="B162">
        <v>16</v>
      </c>
      <c r="C162">
        <v>8</v>
      </c>
      <c r="D162">
        <v>318</v>
      </c>
      <c r="E162">
        <v>150</v>
      </c>
      <c r="F162">
        <v>4498</v>
      </c>
      <c r="G162">
        <v>14.5</v>
      </c>
      <c r="H162">
        <v>75</v>
      </c>
      <c r="I162">
        <f>IF(L162=1,1,0)</f>
        <v>1</v>
      </c>
      <c r="J162">
        <f>IF(L162=2,1,0)</f>
        <v>0</v>
      </c>
      <c r="K162">
        <f>IF(L162=3,1,0)</f>
        <v>0</v>
      </c>
      <c r="L162">
        <f>VALUE(LEFT(M162,1))</f>
        <v>1</v>
      </c>
      <c r="M162" t="s">
        <v>418</v>
      </c>
      <c r="N162" t="s">
        <v>556</v>
      </c>
      <c r="O162" t="s">
        <v>583</v>
      </c>
    </row>
    <row r="163" spans="2:15">
      <c r="B163">
        <v>14</v>
      </c>
      <c r="C163">
        <v>8</v>
      </c>
      <c r="D163">
        <v>351</v>
      </c>
      <c r="E163">
        <v>148</v>
      </c>
      <c r="F163">
        <v>4657</v>
      </c>
      <c r="G163">
        <v>13.5</v>
      </c>
      <c r="H163">
        <v>75</v>
      </c>
      <c r="I163">
        <f>IF(L163=1,1,0)</f>
        <v>1</v>
      </c>
      <c r="J163">
        <f>IF(L163=2,1,0)</f>
        <v>0</v>
      </c>
      <c r="K163">
        <f>IF(L163=3,1,0)</f>
        <v>0</v>
      </c>
      <c r="L163">
        <f>VALUE(LEFT(M163,1))</f>
        <v>1</v>
      </c>
      <c r="M163" t="s">
        <v>423</v>
      </c>
      <c r="N163" t="s">
        <v>536</v>
      </c>
    </row>
    <row r="164" spans="2:15">
      <c r="B164">
        <v>17</v>
      </c>
      <c r="C164">
        <v>6</v>
      </c>
      <c r="D164">
        <v>231</v>
      </c>
      <c r="E164">
        <v>110</v>
      </c>
      <c r="F164">
        <v>3907</v>
      </c>
      <c r="G164">
        <v>21</v>
      </c>
      <c r="H164">
        <v>75</v>
      </c>
      <c r="I164">
        <f>IF(L164=1,1,0)</f>
        <v>1</v>
      </c>
      <c r="J164">
        <f>IF(L164=2,1,0)</f>
        <v>0</v>
      </c>
      <c r="K164">
        <f>IF(L164=3,1,0)</f>
        <v>0</v>
      </c>
      <c r="L164">
        <f>VALUE(LEFT(M164,1))</f>
        <v>1</v>
      </c>
      <c r="M164" t="s">
        <v>415</v>
      </c>
      <c r="N164" t="s">
        <v>584</v>
      </c>
    </row>
    <row r="165" spans="2:15">
      <c r="B165">
        <v>16</v>
      </c>
      <c r="C165">
        <v>6</v>
      </c>
      <c r="D165">
        <v>250</v>
      </c>
      <c r="E165">
        <v>105</v>
      </c>
      <c r="F165">
        <v>3897</v>
      </c>
      <c r="G165">
        <v>18.5</v>
      </c>
      <c r="H165">
        <v>75</v>
      </c>
      <c r="I165">
        <f>IF(L165=1,1,0)</f>
        <v>1</v>
      </c>
      <c r="J165">
        <f>IF(L165=2,1,0)</f>
        <v>0</v>
      </c>
      <c r="K165">
        <f>IF(L165=3,1,0)</f>
        <v>0</v>
      </c>
      <c r="L165">
        <f>VALUE(LEFT(M165,1))</f>
        <v>1</v>
      </c>
      <c r="M165" t="s">
        <v>585</v>
      </c>
      <c r="N165" t="s">
        <v>413</v>
      </c>
      <c r="O165" t="s">
        <v>414</v>
      </c>
    </row>
    <row r="166" spans="2:15">
      <c r="B166">
        <v>15</v>
      </c>
      <c r="C166">
        <v>6</v>
      </c>
      <c r="D166">
        <v>258</v>
      </c>
      <c r="E166">
        <v>110</v>
      </c>
      <c r="F166">
        <v>3730</v>
      </c>
      <c r="G166">
        <v>19</v>
      </c>
      <c r="H166">
        <v>75</v>
      </c>
      <c r="I166">
        <f>IF(L166=1,1,0)</f>
        <v>1</v>
      </c>
      <c r="J166">
        <f>IF(L166=2,1,0)</f>
        <v>0</v>
      </c>
      <c r="K166">
        <f>IF(L166=3,1,0)</f>
        <v>0</v>
      </c>
      <c r="L166">
        <f>VALUE(LEFT(M166,1))</f>
        <v>1</v>
      </c>
      <c r="M166" t="s">
        <v>420</v>
      </c>
      <c r="N166" t="s">
        <v>479</v>
      </c>
    </row>
    <row r="167" spans="2:15">
      <c r="B167">
        <v>18</v>
      </c>
      <c r="C167">
        <v>6</v>
      </c>
      <c r="D167">
        <v>225</v>
      </c>
      <c r="E167">
        <v>95</v>
      </c>
      <c r="F167">
        <v>3785</v>
      </c>
      <c r="G167">
        <v>19</v>
      </c>
      <c r="H167">
        <v>75</v>
      </c>
      <c r="I167">
        <f>IF(L167=1,1,0)</f>
        <v>1</v>
      </c>
      <c r="J167">
        <f>IF(L167=2,1,0)</f>
        <v>0</v>
      </c>
      <c r="K167">
        <f>IF(L167=3,1,0)</f>
        <v>0</v>
      </c>
      <c r="L167">
        <f>VALUE(LEFT(M167,1))</f>
        <v>1</v>
      </c>
      <c r="M167" t="s">
        <v>418</v>
      </c>
      <c r="N167" t="s">
        <v>583</v>
      </c>
    </row>
    <row r="168" spans="2:15">
      <c r="B168">
        <v>21</v>
      </c>
      <c r="C168">
        <v>6</v>
      </c>
      <c r="D168">
        <v>231</v>
      </c>
      <c r="E168">
        <v>110</v>
      </c>
      <c r="F168">
        <v>3039</v>
      </c>
      <c r="G168">
        <v>15</v>
      </c>
      <c r="H168">
        <v>75</v>
      </c>
      <c r="I168">
        <f>IF(L168=1,1,0)</f>
        <v>1</v>
      </c>
      <c r="J168">
        <f>IF(L168=2,1,0)</f>
        <v>0</v>
      </c>
      <c r="K168">
        <f>IF(L168=3,1,0)</f>
        <v>0</v>
      </c>
      <c r="L168">
        <f>VALUE(LEFT(M168,1))</f>
        <v>1</v>
      </c>
      <c r="M168" t="s">
        <v>415</v>
      </c>
      <c r="N168" t="s">
        <v>586</v>
      </c>
    </row>
    <row r="169" spans="2:15">
      <c r="B169" s="2">
        <v>20</v>
      </c>
      <c r="C169">
        <v>8</v>
      </c>
      <c r="D169">
        <v>262</v>
      </c>
      <c r="E169">
        <v>110</v>
      </c>
      <c r="F169">
        <v>3221</v>
      </c>
      <c r="G169">
        <v>13.5</v>
      </c>
      <c r="H169">
        <v>75</v>
      </c>
      <c r="I169">
        <f>IF(L169=1,1,0)</f>
        <v>1</v>
      </c>
      <c r="J169">
        <f>IF(L169=2,1,0)</f>
        <v>0</v>
      </c>
      <c r="K169">
        <f>IF(L169=3,1,0)</f>
        <v>0</v>
      </c>
      <c r="L169">
        <f>VALUE(LEFT(M169,1))</f>
        <v>1</v>
      </c>
      <c r="M169" t="s">
        <v>412</v>
      </c>
      <c r="N169" t="s">
        <v>587</v>
      </c>
      <c r="O169" t="s">
        <v>588</v>
      </c>
    </row>
    <row r="170" spans="2:15">
      <c r="B170">
        <v>13</v>
      </c>
      <c r="C170">
        <v>8</v>
      </c>
      <c r="D170">
        <v>302</v>
      </c>
      <c r="E170">
        <v>129</v>
      </c>
      <c r="F170">
        <v>3169</v>
      </c>
      <c r="G170">
        <v>12</v>
      </c>
      <c r="H170">
        <v>75</v>
      </c>
      <c r="I170">
        <f>IF(L170=1,1,0)</f>
        <v>1</v>
      </c>
      <c r="J170">
        <f>IF(L170=2,1,0)</f>
        <v>0</v>
      </c>
      <c r="K170">
        <f>IF(L170=3,1,0)</f>
        <v>0</v>
      </c>
      <c r="L170">
        <f>VALUE(LEFT(M170,1))</f>
        <v>1</v>
      </c>
      <c r="M170" t="s">
        <v>423</v>
      </c>
      <c r="N170" t="s">
        <v>589</v>
      </c>
      <c r="O170" t="s">
        <v>447</v>
      </c>
    </row>
    <row r="171" spans="2:15">
      <c r="B171">
        <v>29</v>
      </c>
      <c r="C171">
        <v>4</v>
      </c>
      <c r="D171">
        <v>97</v>
      </c>
      <c r="E171">
        <v>75</v>
      </c>
      <c r="F171">
        <v>2171</v>
      </c>
      <c r="G171">
        <v>16</v>
      </c>
      <c r="H171">
        <v>75</v>
      </c>
      <c r="I171">
        <f>IF(L171=1,1,0)</f>
        <v>0</v>
      </c>
      <c r="J171">
        <f>IF(L171=2,1,0)</f>
        <v>0</v>
      </c>
      <c r="K171">
        <f>IF(L171=3,1,0)</f>
        <v>1</v>
      </c>
      <c r="L171">
        <f>VALUE(LEFT(M171,1))</f>
        <v>3</v>
      </c>
      <c r="M171" t="s">
        <v>444</v>
      </c>
      <c r="N171" t="s">
        <v>590</v>
      </c>
    </row>
    <row r="172" spans="2:15">
      <c r="B172">
        <v>23</v>
      </c>
      <c r="C172">
        <v>4</v>
      </c>
      <c r="D172">
        <v>140</v>
      </c>
      <c r="E172">
        <v>83</v>
      </c>
      <c r="F172">
        <v>2639</v>
      </c>
      <c r="G172">
        <v>17</v>
      </c>
      <c r="H172">
        <v>75</v>
      </c>
      <c r="I172">
        <f>IF(L172=1,1,0)</f>
        <v>1</v>
      </c>
      <c r="J172">
        <f>IF(L172=2,1,0)</f>
        <v>0</v>
      </c>
      <c r="K172">
        <f>IF(L172=3,1,0)</f>
        <v>0</v>
      </c>
      <c r="L172">
        <f>VALUE(LEFT(M172,1))</f>
        <v>1</v>
      </c>
      <c r="M172" t="s">
        <v>423</v>
      </c>
      <c r="N172" t="s">
        <v>475</v>
      </c>
    </row>
    <row r="173" spans="2:15">
      <c r="B173">
        <v>20</v>
      </c>
      <c r="C173">
        <v>6</v>
      </c>
      <c r="D173">
        <v>232</v>
      </c>
      <c r="E173">
        <v>100</v>
      </c>
      <c r="F173">
        <v>2914</v>
      </c>
      <c r="G173">
        <v>16</v>
      </c>
      <c r="H173">
        <v>75</v>
      </c>
      <c r="I173">
        <f>IF(L173=1,1,0)</f>
        <v>1</v>
      </c>
      <c r="J173">
        <f>IF(L173=2,1,0)</f>
        <v>0</v>
      </c>
      <c r="K173">
        <f>IF(L173=3,1,0)</f>
        <v>0</v>
      </c>
      <c r="L173">
        <f>VALUE(LEFT(M173,1))</f>
        <v>1</v>
      </c>
      <c r="M173" t="s">
        <v>420</v>
      </c>
      <c r="N173" t="s">
        <v>464</v>
      </c>
    </row>
    <row r="174" spans="2:15">
      <c r="B174">
        <v>23</v>
      </c>
      <c r="C174">
        <v>4</v>
      </c>
      <c r="D174">
        <v>140</v>
      </c>
      <c r="E174">
        <v>78</v>
      </c>
      <c r="F174">
        <v>2592</v>
      </c>
      <c r="G174">
        <v>18.5</v>
      </c>
      <c r="H174">
        <v>75</v>
      </c>
      <c r="I174">
        <f>IF(L174=1,1,0)</f>
        <v>1</v>
      </c>
      <c r="J174">
        <f>IF(L174=2,1,0)</f>
        <v>0</v>
      </c>
      <c r="K174">
        <f>IF(L174=3,1,0)</f>
        <v>0</v>
      </c>
      <c r="L174">
        <f>VALUE(LEFT(M174,1))</f>
        <v>1</v>
      </c>
      <c r="M174" t="s">
        <v>430</v>
      </c>
      <c r="N174" t="s">
        <v>591</v>
      </c>
    </row>
    <row r="175" spans="2:15">
      <c r="B175">
        <v>24</v>
      </c>
      <c r="C175">
        <v>4</v>
      </c>
      <c r="D175">
        <v>134</v>
      </c>
      <c r="E175">
        <v>96</v>
      </c>
      <c r="F175">
        <v>2702</v>
      </c>
      <c r="G175">
        <v>13.5</v>
      </c>
      <c r="H175">
        <v>75</v>
      </c>
      <c r="I175">
        <f>IF(L175=1,1,0)</f>
        <v>0</v>
      </c>
      <c r="J175">
        <f>IF(L175=2,1,0)</f>
        <v>0</v>
      </c>
      <c r="K175">
        <f>IF(L175=3,1,0)</f>
        <v>1</v>
      </c>
      <c r="L175">
        <f>VALUE(LEFT(M175,1))</f>
        <v>3</v>
      </c>
      <c r="M175" t="s">
        <v>444</v>
      </c>
      <c r="N175" t="s">
        <v>473</v>
      </c>
    </row>
    <row r="176" spans="2:15">
      <c r="B176">
        <v>25</v>
      </c>
      <c r="C176">
        <v>4</v>
      </c>
      <c r="D176">
        <v>90</v>
      </c>
      <c r="E176">
        <v>71</v>
      </c>
      <c r="F176">
        <v>2223</v>
      </c>
      <c r="G176">
        <v>16.5</v>
      </c>
      <c r="H176">
        <v>75</v>
      </c>
      <c r="I176">
        <f>IF(L176=1,1,0)</f>
        <v>0</v>
      </c>
      <c r="J176">
        <f>IF(L176=2,1,0)</f>
        <v>1</v>
      </c>
      <c r="K176">
        <f>IF(L176=3,1,0)</f>
        <v>0</v>
      </c>
      <c r="L176">
        <f>VALUE(LEFT(M176,1))</f>
        <v>2</v>
      </c>
      <c r="M176" t="s">
        <v>453</v>
      </c>
      <c r="N176" t="s">
        <v>571</v>
      </c>
    </row>
    <row r="177" spans="2:16">
      <c r="B177">
        <v>24</v>
      </c>
      <c r="C177">
        <v>4</v>
      </c>
      <c r="D177">
        <v>119</v>
      </c>
      <c r="E177">
        <v>97</v>
      </c>
      <c r="F177">
        <v>2545</v>
      </c>
      <c r="G177">
        <v>17</v>
      </c>
      <c r="H177">
        <v>75</v>
      </c>
      <c r="I177">
        <f>IF(L177=1,1,0)</f>
        <v>0</v>
      </c>
      <c r="J177">
        <f>IF(L177=2,1,0)</f>
        <v>0</v>
      </c>
      <c r="K177">
        <f>IF(L177=3,1,0)</f>
        <v>1</v>
      </c>
      <c r="L177">
        <f>VALUE(LEFT(M177,1))</f>
        <v>3</v>
      </c>
      <c r="M177" t="s">
        <v>451</v>
      </c>
      <c r="N177" t="s">
        <v>572</v>
      </c>
    </row>
    <row r="178" spans="2:16">
      <c r="B178">
        <v>18</v>
      </c>
      <c r="C178">
        <v>6</v>
      </c>
      <c r="D178">
        <v>171</v>
      </c>
      <c r="E178">
        <v>97</v>
      </c>
      <c r="F178">
        <v>2984</v>
      </c>
      <c r="G178">
        <v>14.5</v>
      </c>
      <c r="H178">
        <v>75</v>
      </c>
      <c r="I178">
        <f>IF(L178=1,1,0)</f>
        <v>1</v>
      </c>
      <c r="J178">
        <f>IF(L178=2,1,0)</f>
        <v>0</v>
      </c>
      <c r="K178">
        <f>IF(L178=3,1,0)</f>
        <v>0</v>
      </c>
      <c r="L178">
        <f>VALUE(LEFT(M178,1))</f>
        <v>1</v>
      </c>
      <c r="M178" t="s">
        <v>423</v>
      </c>
      <c r="N178" t="s">
        <v>475</v>
      </c>
    </row>
    <row r="179" spans="2:16">
      <c r="B179">
        <v>29</v>
      </c>
      <c r="C179">
        <v>4</v>
      </c>
      <c r="D179">
        <v>90</v>
      </c>
      <c r="E179">
        <v>70</v>
      </c>
      <c r="F179">
        <v>1937</v>
      </c>
      <c r="G179">
        <v>14</v>
      </c>
      <c r="H179">
        <v>75</v>
      </c>
      <c r="I179">
        <f>IF(L179=1,1,0)</f>
        <v>0</v>
      </c>
      <c r="J179">
        <f>IF(L179=2,1,0)</f>
        <v>1</v>
      </c>
      <c r="K179">
        <f>IF(L179=3,1,0)</f>
        <v>0</v>
      </c>
      <c r="L179">
        <f>VALUE(LEFT(M179,1))</f>
        <v>2</v>
      </c>
      <c r="M179" t="s">
        <v>453</v>
      </c>
      <c r="N179" t="s">
        <v>592</v>
      </c>
    </row>
    <row r="180" spans="2:16">
      <c r="B180">
        <v>19</v>
      </c>
      <c r="C180">
        <v>6</v>
      </c>
      <c r="D180">
        <v>232</v>
      </c>
      <c r="E180">
        <v>90</v>
      </c>
      <c r="F180">
        <v>3211</v>
      </c>
      <c r="G180">
        <v>17</v>
      </c>
      <c r="H180">
        <v>75</v>
      </c>
      <c r="I180">
        <f>IF(L180=1,1,0)</f>
        <v>1</v>
      </c>
      <c r="J180">
        <f>IF(L180=2,1,0)</f>
        <v>0</v>
      </c>
      <c r="K180">
        <f>IF(L180=3,1,0)</f>
        <v>0</v>
      </c>
      <c r="L180">
        <f>VALUE(LEFT(M180,1))</f>
        <v>1</v>
      </c>
      <c r="M180" t="s">
        <v>420</v>
      </c>
      <c r="N180" t="s">
        <v>593</v>
      </c>
    </row>
    <row r="181" spans="2:16">
      <c r="B181">
        <v>23</v>
      </c>
      <c r="C181">
        <v>4</v>
      </c>
      <c r="D181">
        <v>115</v>
      </c>
      <c r="E181">
        <v>95</v>
      </c>
      <c r="F181">
        <v>2694</v>
      </c>
      <c r="G181">
        <v>15</v>
      </c>
      <c r="H181">
        <v>75</v>
      </c>
      <c r="I181">
        <f>IF(L181=1,1,0)</f>
        <v>0</v>
      </c>
      <c r="J181">
        <f>IF(L181=2,1,0)</f>
        <v>1</v>
      </c>
      <c r="K181">
        <f>IF(L181=3,1,0)</f>
        <v>0</v>
      </c>
      <c r="L181">
        <f>VALUE(LEFT(M181,1))</f>
        <v>2</v>
      </c>
      <c r="M181" t="s">
        <v>458</v>
      </c>
      <c r="N181" t="s">
        <v>560</v>
      </c>
    </row>
    <row r="182" spans="2:16">
      <c r="B182">
        <v>23</v>
      </c>
      <c r="C182">
        <v>4</v>
      </c>
      <c r="D182">
        <v>120</v>
      </c>
      <c r="E182">
        <v>88</v>
      </c>
      <c r="F182">
        <v>2957</v>
      </c>
      <c r="G182">
        <v>17</v>
      </c>
      <c r="H182">
        <v>75</v>
      </c>
      <c r="I182">
        <f>IF(L182=1,1,0)</f>
        <v>0</v>
      </c>
      <c r="J182">
        <f>IF(L182=2,1,0)</f>
        <v>1</v>
      </c>
      <c r="K182">
        <f>IF(L182=3,1,0)</f>
        <v>0</v>
      </c>
      <c r="L182">
        <f>VALUE(LEFT(M182,1))</f>
        <v>2</v>
      </c>
      <c r="M182" t="s">
        <v>456</v>
      </c>
      <c r="N182" t="s">
        <v>457</v>
      </c>
    </row>
    <row r="183" spans="2:16">
      <c r="B183">
        <v>22</v>
      </c>
      <c r="C183">
        <v>4</v>
      </c>
      <c r="D183">
        <v>121</v>
      </c>
      <c r="E183">
        <v>98</v>
      </c>
      <c r="F183">
        <v>2945</v>
      </c>
      <c r="G183">
        <v>14.5</v>
      </c>
      <c r="H183">
        <v>75</v>
      </c>
      <c r="I183">
        <f>IF(L183=1,1,0)</f>
        <v>0</v>
      </c>
      <c r="J183">
        <f>IF(L183=2,1,0)</f>
        <v>1</v>
      </c>
      <c r="K183">
        <f>IF(L183=3,1,0)</f>
        <v>0</v>
      </c>
      <c r="L183">
        <f>VALUE(LEFT(M183,1))</f>
        <v>2</v>
      </c>
      <c r="M183" t="s">
        <v>525</v>
      </c>
      <c r="N183" t="s">
        <v>594</v>
      </c>
    </row>
    <row r="184" spans="2:16">
      <c r="B184">
        <v>25</v>
      </c>
      <c r="C184">
        <v>4</v>
      </c>
      <c r="D184">
        <v>121</v>
      </c>
      <c r="E184">
        <v>115</v>
      </c>
      <c r="F184">
        <v>2671</v>
      </c>
      <c r="G184">
        <v>13.5</v>
      </c>
      <c r="H184">
        <v>75</v>
      </c>
      <c r="I184">
        <f>IF(L184=1,1,0)</f>
        <v>0</v>
      </c>
      <c r="J184">
        <f>IF(L184=2,1,0)</f>
        <v>1</v>
      </c>
      <c r="K184">
        <f>IF(L184=3,1,0)</f>
        <v>0</v>
      </c>
      <c r="L184">
        <f>VALUE(LEFT(M184,1))</f>
        <v>2</v>
      </c>
      <c r="M184" t="s">
        <v>460</v>
      </c>
      <c r="N184" t="s">
        <v>563</v>
      </c>
    </row>
    <row r="185" spans="2:16">
      <c r="B185">
        <v>33</v>
      </c>
      <c r="C185">
        <v>4</v>
      </c>
      <c r="D185">
        <v>91</v>
      </c>
      <c r="E185">
        <v>53</v>
      </c>
      <c r="F185">
        <v>1795</v>
      </c>
      <c r="G185">
        <v>17.5</v>
      </c>
      <c r="H185">
        <v>75</v>
      </c>
      <c r="I185">
        <f>IF(L185=1,1,0)</f>
        <v>0</v>
      </c>
      <c r="J185">
        <f>IF(L185=2,1,0)</f>
        <v>0</v>
      </c>
      <c r="K185">
        <f>IF(L185=3,1,0)</f>
        <v>1</v>
      </c>
      <c r="L185">
        <f>VALUE(LEFT(M185,1))</f>
        <v>3</v>
      </c>
      <c r="M185" t="s">
        <v>575</v>
      </c>
      <c r="N185" t="s">
        <v>595</v>
      </c>
      <c r="O185" t="s">
        <v>596</v>
      </c>
    </row>
    <row r="186" spans="2:16">
      <c r="B186">
        <v>28</v>
      </c>
      <c r="C186">
        <v>4</v>
      </c>
      <c r="D186">
        <v>107</v>
      </c>
      <c r="E186">
        <v>86</v>
      </c>
      <c r="F186">
        <v>2464</v>
      </c>
      <c r="G186">
        <v>15.5</v>
      </c>
      <c r="H186">
        <v>76</v>
      </c>
      <c r="I186">
        <f>IF(L186=1,1,0)</f>
        <v>0</v>
      </c>
      <c r="J186">
        <f>IF(L186=2,1,0)</f>
        <v>1</v>
      </c>
      <c r="K186">
        <f>IF(L186=3,1,0)</f>
        <v>0</v>
      </c>
      <c r="L186">
        <f>VALUE(LEFT(M186,1))</f>
        <v>2</v>
      </c>
      <c r="M186" t="s">
        <v>496</v>
      </c>
      <c r="N186" t="s">
        <v>597</v>
      </c>
    </row>
    <row r="187" spans="2:16">
      <c r="B187">
        <v>25</v>
      </c>
      <c r="C187">
        <v>4</v>
      </c>
      <c r="D187">
        <v>116</v>
      </c>
      <c r="E187">
        <v>81</v>
      </c>
      <c r="F187">
        <v>2220</v>
      </c>
      <c r="G187">
        <v>16.899999999999999</v>
      </c>
      <c r="H187">
        <v>76</v>
      </c>
      <c r="I187">
        <f>IF(L187=1,1,0)</f>
        <v>0</v>
      </c>
      <c r="J187">
        <f>IF(L187=2,1,0)</f>
        <v>1</v>
      </c>
      <c r="K187">
        <f>IF(L187=3,1,0)</f>
        <v>0</v>
      </c>
      <c r="L187">
        <f>VALUE(LEFT(M187,1))</f>
        <v>2</v>
      </c>
      <c r="M187" t="s">
        <v>493</v>
      </c>
      <c r="N187" t="s">
        <v>494</v>
      </c>
    </row>
    <row r="188" spans="2:16">
      <c r="B188">
        <v>25</v>
      </c>
      <c r="C188">
        <v>4</v>
      </c>
      <c r="D188">
        <v>140</v>
      </c>
      <c r="E188">
        <v>92</v>
      </c>
      <c r="F188">
        <v>2572</v>
      </c>
      <c r="G188">
        <v>14.9</v>
      </c>
      <c r="H188">
        <v>76</v>
      </c>
      <c r="I188">
        <f>IF(L188=1,1,0)</f>
        <v>1</v>
      </c>
      <c r="J188">
        <f>IF(L188=2,1,0)</f>
        <v>0</v>
      </c>
      <c r="K188">
        <f>IF(L188=3,1,0)</f>
        <v>0</v>
      </c>
      <c r="L188">
        <f>VALUE(LEFT(M188,1))</f>
        <v>1</v>
      </c>
      <c r="M188" t="s">
        <v>598</v>
      </c>
      <c r="N188" t="s">
        <v>447</v>
      </c>
    </row>
    <row r="189" spans="2:16">
      <c r="B189">
        <v>26</v>
      </c>
      <c r="C189">
        <v>4</v>
      </c>
      <c r="D189">
        <v>98</v>
      </c>
      <c r="E189">
        <v>79</v>
      </c>
      <c r="F189">
        <v>2255</v>
      </c>
      <c r="G189">
        <v>17.7</v>
      </c>
      <c r="H189">
        <v>76</v>
      </c>
      <c r="I189">
        <f>IF(L189=1,1,0)</f>
        <v>1</v>
      </c>
      <c r="J189">
        <f>IF(L189=2,1,0)</f>
        <v>0</v>
      </c>
      <c r="K189">
        <f>IF(L189=3,1,0)</f>
        <v>0</v>
      </c>
      <c r="L189">
        <f>VALUE(LEFT(M189,1))</f>
        <v>1</v>
      </c>
      <c r="M189" t="s">
        <v>434</v>
      </c>
      <c r="N189" t="s">
        <v>573</v>
      </c>
    </row>
    <row r="190" spans="2:16">
      <c r="B190">
        <v>27</v>
      </c>
      <c r="C190">
        <v>4</v>
      </c>
      <c r="D190">
        <v>101</v>
      </c>
      <c r="E190">
        <v>83</v>
      </c>
      <c r="F190">
        <v>2202</v>
      </c>
      <c r="G190">
        <v>15.3</v>
      </c>
      <c r="H190">
        <v>76</v>
      </c>
      <c r="I190">
        <f>IF(L190=1,1,0)</f>
        <v>0</v>
      </c>
      <c r="J190">
        <f>IF(L190=2,1,0)</f>
        <v>1</v>
      </c>
      <c r="K190">
        <f>IF(L190=3,1,0)</f>
        <v>0</v>
      </c>
      <c r="L190">
        <f>VALUE(LEFT(M190,1))</f>
        <v>2</v>
      </c>
      <c r="M190" t="s">
        <v>527</v>
      </c>
      <c r="N190" t="s">
        <v>599</v>
      </c>
    </row>
    <row r="191" spans="2:16">
      <c r="B191">
        <v>17.5</v>
      </c>
      <c r="C191">
        <v>8</v>
      </c>
      <c r="D191">
        <v>305</v>
      </c>
      <c r="E191">
        <v>140</v>
      </c>
      <c r="F191">
        <v>4215</v>
      </c>
      <c r="G191">
        <v>13</v>
      </c>
      <c r="H191">
        <v>76</v>
      </c>
      <c r="I191">
        <f>IF(L191=1,1,0)</f>
        <v>1</v>
      </c>
      <c r="J191">
        <f>IF(L191=2,1,0)</f>
        <v>0</v>
      </c>
      <c r="K191">
        <f>IF(L191=3,1,0)</f>
        <v>0</v>
      </c>
      <c r="L191">
        <f>VALUE(LEFT(M191,1))</f>
        <v>1</v>
      </c>
      <c r="M191" t="s">
        <v>412</v>
      </c>
      <c r="N191" t="s">
        <v>413</v>
      </c>
      <c r="O191" t="s">
        <v>567</v>
      </c>
      <c r="P191" t="s">
        <v>535</v>
      </c>
    </row>
    <row r="192" spans="2:16">
      <c r="B192">
        <v>16</v>
      </c>
      <c r="C192">
        <v>8</v>
      </c>
      <c r="D192">
        <v>318</v>
      </c>
      <c r="E192">
        <v>150</v>
      </c>
      <c r="F192">
        <v>4190</v>
      </c>
      <c r="G192">
        <v>13</v>
      </c>
      <c r="H192">
        <v>76</v>
      </c>
      <c r="I192">
        <f>IF(L192=1,1,0)</f>
        <v>1</v>
      </c>
      <c r="J192">
        <f>IF(L192=2,1,0)</f>
        <v>0</v>
      </c>
      <c r="K192">
        <f>IF(L192=3,1,0)</f>
        <v>0</v>
      </c>
      <c r="L192">
        <f>VALUE(LEFT(M192,1))</f>
        <v>1</v>
      </c>
      <c r="M192" t="s">
        <v>434</v>
      </c>
      <c r="N192" t="s">
        <v>532</v>
      </c>
      <c r="O192" t="s">
        <v>481</v>
      </c>
    </row>
    <row r="193" spans="2:15">
      <c r="B193">
        <v>15.5</v>
      </c>
      <c r="C193">
        <v>8</v>
      </c>
      <c r="D193">
        <v>304</v>
      </c>
      <c r="E193">
        <v>120</v>
      </c>
      <c r="F193">
        <v>3962</v>
      </c>
      <c r="G193">
        <v>13.9</v>
      </c>
      <c r="H193">
        <v>76</v>
      </c>
      <c r="I193">
        <f>IF(L193=1,1,0)</f>
        <v>1</v>
      </c>
      <c r="J193">
        <f>IF(L193=2,1,0)</f>
        <v>0</v>
      </c>
      <c r="K193">
        <f>IF(L193=3,1,0)</f>
        <v>0</v>
      </c>
      <c r="L193">
        <f>VALUE(LEFT(M193,1))</f>
        <v>1</v>
      </c>
      <c r="M193" t="s">
        <v>420</v>
      </c>
      <c r="N193" t="s">
        <v>479</v>
      </c>
    </row>
    <row r="194" spans="2:15">
      <c r="B194">
        <v>14.5</v>
      </c>
      <c r="C194">
        <v>8</v>
      </c>
      <c r="D194">
        <v>351</v>
      </c>
      <c r="E194">
        <v>152</v>
      </c>
      <c r="F194">
        <v>4215</v>
      </c>
      <c r="G194">
        <v>12.8</v>
      </c>
      <c r="H194">
        <v>76</v>
      </c>
      <c r="I194">
        <f>IF(L194=1,1,0)</f>
        <v>1</v>
      </c>
      <c r="J194">
        <f>IF(L194=2,1,0)</f>
        <v>0</v>
      </c>
      <c r="K194">
        <f>IF(L194=3,1,0)</f>
        <v>0</v>
      </c>
      <c r="L194">
        <f>VALUE(LEFT(M194,1))</f>
        <v>1</v>
      </c>
      <c r="M194" t="s">
        <v>423</v>
      </c>
      <c r="N194" t="s">
        <v>523</v>
      </c>
      <c r="O194" t="s">
        <v>424</v>
      </c>
    </row>
    <row r="195" spans="2:15">
      <c r="B195">
        <v>22</v>
      </c>
      <c r="C195">
        <v>6</v>
      </c>
      <c r="D195">
        <v>225</v>
      </c>
      <c r="E195">
        <v>100</v>
      </c>
      <c r="F195">
        <v>3233</v>
      </c>
      <c r="G195">
        <v>15.4</v>
      </c>
      <c r="H195">
        <v>76</v>
      </c>
      <c r="I195">
        <f>IF(L195=1,1,0)</f>
        <v>1</v>
      </c>
      <c r="J195">
        <f>IF(L195=2,1,0)</f>
        <v>0</v>
      </c>
      <c r="K195">
        <f>IF(L195=3,1,0)</f>
        <v>0</v>
      </c>
      <c r="L195">
        <f>VALUE(LEFT(M195,1))</f>
        <v>1</v>
      </c>
      <c r="M195" t="s">
        <v>418</v>
      </c>
      <c r="N195" t="s">
        <v>540</v>
      </c>
    </row>
    <row r="196" spans="2:15">
      <c r="B196">
        <v>22</v>
      </c>
      <c r="C196">
        <v>6</v>
      </c>
      <c r="D196">
        <v>250</v>
      </c>
      <c r="E196">
        <v>105</v>
      </c>
      <c r="F196">
        <v>3353</v>
      </c>
      <c r="G196">
        <v>14.5</v>
      </c>
      <c r="H196">
        <v>76</v>
      </c>
      <c r="I196">
        <f>IF(L196=1,1,0)</f>
        <v>1</v>
      </c>
      <c r="J196">
        <f>IF(L196=2,1,0)</f>
        <v>0</v>
      </c>
      <c r="K196">
        <f>IF(L196=3,1,0)</f>
        <v>0</v>
      </c>
      <c r="L196">
        <f>VALUE(LEFT(M196,1))</f>
        <v>1</v>
      </c>
      <c r="M196" t="s">
        <v>412</v>
      </c>
      <c r="N196" t="s">
        <v>565</v>
      </c>
    </row>
    <row r="197" spans="2:15">
      <c r="B197">
        <v>24</v>
      </c>
      <c r="C197">
        <v>6</v>
      </c>
      <c r="D197">
        <v>200</v>
      </c>
      <c r="E197">
        <v>81</v>
      </c>
      <c r="F197">
        <v>3012</v>
      </c>
      <c r="G197">
        <v>17.600000000000001</v>
      </c>
      <c r="H197">
        <v>76</v>
      </c>
      <c r="I197">
        <f>IF(L197=1,1,0)</f>
        <v>1</v>
      </c>
      <c r="J197">
        <f>IF(L197=2,1,0)</f>
        <v>0</v>
      </c>
      <c r="K197">
        <f>IF(L197=3,1,0)</f>
        <v>0</v>
      </c>
      <c r="L197">
        <f>VALUE(LEFT(M197,1))</f>
        <v>1</v>
      </c>
      <c r="M197" t="s">
        <v>423</v>
      </c>
      <c r="N197" t="s">
        <v>450</v>
      </c>
    </row>
    <row r="198" spans="2:15">
      <c r="B198">
        <v>22.5</v>
      </c>
      <c r="C198">
        <v>6</v>
      </c>
      <c r="D198">
        <v>232</v>
      </c>
      <c r="E198">
        <v>90</v>
      </c>
      <c r="F198">
        <v>3085</v>
      </c>
      <c r="G198">
        <v>17.600000000000001</v>
      </c>
      <c r="H198">
        <v>76</v>
      </c>
      <c r="I198">
        <f>IF(L198=1,1,0)</f>
        <v>1</v>
      </c>
      <c r="J198">
        <f>IF(L198=2,1,0)</f>
        <v>0</v>
      </c>
      <c r="K198">
        <f>IF(L198=3,1,0)</f>
        <v>0</v>
      </c>
      <c r="L198">
        <f>VALUE(LEFT(M198,1))</f>
        <v>1</v>
      </c>
      <c r="M198" t="s">
        <v>420</v>
      </c>
      <c r="N198" t="s">
        <v>449</v>
      </c>
    </row>
    <row r="199" spans="2:15">
      <c r="B199">
        <v>29</v>
      </c>
      <c r="C199">
        <v>4</v>
      </c>
      <c r="D199">
        <v>85</v>
      </c>
      <c r="E199">
        <v>52</v>
      </c>
      <c r="F199">
        <v>2035</v>
      </c>
      <c r="G199">
        <v>22.2</v>
      </c>
      <c r="H199">
        <v>76</v>
      </c>
      <c r="I199">
        <f>IF(L199=1,1,0)</f>
        <v>1</v>
      </c>
      <c r="J199">
        <f>IF(L199=2,1,0)</f>
        <v>0</v>
      </c>
      <c r="K199">
        <f>IF(L199=3,1,0)</f>
        <v>0</v>
      </c>
      <c r="L199">
        <f>VALUE(LEFT(M199,1))</f>
        <v>1</v>
      </c>
      <c r="M199" t="s">
        <v>412</v>
      </c>
      <c r="N199" t="s">
        <v>600</v>
      </c>
    </row>
    <row r="200" spans="2:15">
      <c r="B200">
        <v>24.5</v>
      </c>
      <c r="C200">
        <v>4</v>
      </c>
      <c r="D200">
        <v>98</v>
      </c>
      <c r="E200">
        <v>60</v>
      </c>
      <c r="F200">
        <v>2164</v>
      </c>
      <c r="G200">
        <v>22.1</v>
      </c>
      <c r="H200">
        <v>76</v>
      </c>
      <c r="I200">
        <f>IF(L200=1,1,0)</f>
        <v>1</v>
      </c>
      <c r="J200">
        <f>IF(L200=2,1,0)</f>
        <v>0</v>
      </c>
      <c r="K200">
        <f>IF(L200=3,1,0)</f>
        <v>0</v>
      </c>
      <c r="L200">
        <f>VALUE(LEFT(M200,1))</f>
        <v>1</v>
      </c>
      <c r="M200" t="s">
        <v>412</v>
      </c>
      <c r="N200" t="s">
        <v>601</v>
      </c>
    </row>
    <row r="201" spans="2:15">
      <c r="B201">
        <v>29</v>
      </c>
      <c r="C201">
        <v>4</v>
      </c>
      <c r="D201">
        <v>90</v>
      </c>
      <c r="E201">
        <v>70</v>
      </c>
      <c r="F201">
        <v>1937</v>
      </c>
      <c r="G201">
        <v>14.2</v>
      </c>
      <c r="H201">
        <v>76</v>
      </c>
      <c r="I201">
        <f>IF(L201=1,1,0)</f>
        <v>0</v>
      </c>
      <c r="J201">
        <f>IF(L201=2,1,0)</f>
        <v>1</v>
      </c>
      <c r="K201">
        <f>IF(L201=3,1,0)</f>
        <v>0</v>
      </c>
      <c r="L201">
        <f>VALUE(LEFT(M201,1))</f>
        <v>2</v>
      </c>
      <c r="M201" t="s">
        <v>602</v>
      </c>
      <c r="N201" t="s">
        <v>592</v>
      </c>
    </row>
    <row r="202" spans="2:15">
      <c r="B202">
        <v>33</v>
      </c>
      <c r="C202">
        <v>4</v>
      </c>
      <c r="D202">
        <v>91</v>
      </c>
      <c r="E202">
        <v>53</v>
      </c>
      <c r="F202">
        <v>1795</v>
      </c>
      <c r="G202">
        <v>17.399999999999999</v>
      </c>
      <c r="H202">
        <v>76</v>
      </c>
      <c r="I202">
        <f>IF(L202=1,1,0)</f>
        <v>0</v>
      </c>
      <c r="J202">
        <f>IF(L202=2,1,0)</f>
        <v>0</v>
      </c>
      <c r="K202">
        <f>IF(L202=3,1,0)</f>
        <v>1</v>
      </c>
      <c r="L202">
        <f>VALUE(LEFT(M202,1))</f>
        <v>3</v>
      </c>
      <c r="M202" t="s">
        <v>575</v>
      </c>
      <c r="N202" t="s">
        <v>576</v>
      </c>
    </row>
    <row r="203" spans="2:15">
      <c r="B203">
        <v>20</v>
      </c>
      <c r="C203">
        <v>6</v>
      </c>
      <c r="D203">
        <v>225</v>
      </c>
      <c r="E203">
        <v>100</v>
      </c>
      <c r="F203">
        <v>3651</v>
      </c>
      <c r="G203">
        <v>17.7</v>
      </c>
      <c r="H203">
        <v>76</v>
      </c>
      <c r="I203">
        <f>IF(L203=1,1,0)</f>
        <v>1</v>
      </c>
      <c r="J203">
        <f>IF(L203=2,1,0)</f>
        <v>0</v>
      </c>
      <c r="K203">
        <f>IF(L203=3,1,0)</f>
        <v>0</v>
      </c>
      <c r="L203">
        <f>VALUE(LEFT(M203,1))</f>
        <v>1</v>
      </c>
      <c r="M203" t="s">
        <v>434</v>
      </c>
      <c r="N203" t="s">
        <v>603</v>
      </c>
      <c r="O203" t="s">
        <v>436</v>
      </c>
    </row>
    <row r="204" spans="2:15">
      <c r="B204">
        <v>18</v>
      </c>
      <c r="C204">
        <v>6</v>
      </c>
      <c r="D204">
        <v>250</v>
      </c>
      <c r="E204">
        <v>78</v>
      </c>
      <c r="F204">
        <v>3574</v>
      </c>
      <c r="G204">
        <v>21</v>
      </c>
      <c r="H204">
        <v>76</v>
      </c>
      <c r="I204">
        <f>IF(L204=1,1,0)</f>
        <v>1</v>
      </c>
      <c r="J204">
        <f>IF(L204=2,1,0)</f>
        <v>0</v>
      </c>
      <c r="K204">
        <f>IF(L204=3,1,0)</f>
        <v>0</v>
      </c>
      <c r="L204">
        <f>VALUE(LEFT(M204,1))</f>
        <v>1</v>
      </c>
      <c r="M204" t="s">
        <v>423</v>
      </c>
      <c r="N204" t="s">
        <v>604</v>
      </c>
      <c r="O204" t="s">
        <v>605</v>
      </c>
    </row>
    <row r="205" spans="2:15">
      <c r="B205">
        <v>18.5</v>
      </c>
      <c r="C205">
        <v>6</v>
      </c>
      <c r="D205">
        <v>250</v>
      </c>
      <c r="E205">
        <v>110</v>
      </c>
      <c r="F205">
        <v>3645</v>
      </c>
      <c r="G205">
        <v>16.2</v>
      </c>
      <c r="H205">
        <v>76</v>
      </c>
      <c r="I205">
        <f>IF(L205=1,1,0)</f>
        <v>1</v>
      </c>
      <c r="J205">
        <f>IF(L205=2,1,0)</f>
        <v>0</v>
      </c>
      <c r="K205">
        <f>IF(L205=3,1,0)</f>
        <v>0</v>
      </c>
      <c r="L205">
        <f>VALUE(LEFT(M205,1))</f>
        <v>1</v>
      </c>
      <c r="M205" t="s">
        <v>430</v>
      </c>
      <c r="N205" t="s">
        <v>606</v>
      </c>
      <c r="O205" t="s">
        <v>607</v>
      </c>
    </row>
    <row r="206" spans="2:15">
      <c r="B206">
        <v>17.5</v>
      </c>
      <c r="C206">
        <v>6</v>
      </c>
      <c r="D206">
        <v>258</v>
      </c>
      <c r="E206">
        <v>95</v>
      </c>
      <c r="F206">
        <v>3193</v>
      </c>
      <c r="G206">
        <v>17.8</v>
      </c>
      <c r="H206">
        <v>76</v>
      </c>
      <c r="I206">
        <f>IF(L206=1,1,0)</f>
        <v>1</v>
      </c>
      <c r="J206">
        <f>IF(L206=2,1,0)</f>
        <v>0</v>
      </c>
      <c r="K206">
        <f>IF(L206=3,1,0)</f>
        <v>0</v>
      </c>
      <c r="L206">
        <f>VALUE(LEFT(M206,1))</f>
        <v>1</v>
      </c>
      <c r="M206" t="s">
        <v>420</v>
      </c>
      <c r="N206" t="s">
        <v>608</v>
      </c>
      <c r="O206" t="s">
        <v>609</v>
      </c>
    </row>
    <row r="207" spans="2:15">
      <c r="B207">
        <v>29.5</v>
      </c>
      <c r="C207">
        <v>4</v>
      </c>
      <c r="D207">
        <v>97</v>
      </c>
      <c r="E207">
        <v>71</v>
      </c>
      <c r="F207">
        <v>1825</v>
      </c>
      <c r="G207">
        <v>12.2</v>
      </c>
      <c r="H207">
        <v>76</v>
      </c>
      <c r="I207">
        <f>IF(L207=1,1,0)</f>
        <v>0</v>
      </c>
      <c r="J207">
        <f>IF(L207=2,1,0)</f>
        <v>1</v>
      </c>
      <c r="K207">
        <f>IF(L207=3,1,0)</f>
        <v>0</v>
      </c>
      <c r="L207">
        <f>VALUE(LEFT(M207,1))</f>
        <v>2</v>
      </c>
      <c r="M207" t="s">
        <v>453</v>
      </c>
      <c r="N207" t="s">
        <v>592</v>
      </c>
    </row>
    <row r="208" spans="2:15">
      <c r="B208">
        <v>32</v>
      </c>
      <c r="C208">
        <v>4</v>
      </c>
      <c r="D208">
        <v>85</v>
      </c>
      <c r="E208">
        <v>70</v>
      </c>
      <c r="F208">
        <v>1990</v>
      </c>
      <c r="G208">
        <v>17</v>
      </c>
      <c r="H208">
        <v>76</v>
      </c>
      <c r="I208">
        <f>IF(L208=1,1,0)</f>
        <v>0</v>
      </c>
      <c r="J208">
        <f>IF(L208=2,1,0)</f>
        <v>0</v>
      </c>
      <c r="K208">
        <f>IF(L208=3,1,0)</f>
        <v>1</v>
      </c>
      <c r="L208">
        <f>VALUE(LEFT(M208,1))</f>
        <v>3</v>
      </c>
      <c r="M208" t="s">
        <v>451</v>
      </c>
      <c r="N208" t="s">
        <v>610</v>
      </c>
    </row>
    <row r="209" spans="2:16">
      <c r="B209">
        <v>28</v>
      </c>
      <c r="C209">
        <v>4</v>
      </c>
      <c r="D209">
        <v>97</v>
      </c>
      <c r="E209">
        <v>75</v>
      </c>
      <c r="F209">
        <v>2155</v>
      </c>
      <c r="G209">
        <v>16.399999999999999</v>
      </c>
      <c r="H209">
        <v>76</v>
      </c>
      <c r="I209">
        <f>IF(L209=1,1,0)</f>
        <v>0</v>
      </c>
      <c r="J209">
        <f>IF(L209=2,1,0)</f>
        <v>0</v>
      </c>
      <c r="K209">
        <f>IF(L209=3,1,0)</f>
        <v>1</v>
      </c>
      <c r="L209">
        <f>VALUE(LEFT(M209,1))</f>
        <v>3</v>
      </c>
      <c r="M209" t="s">
        <v>444</v>
      </c>
      <c r="N209" t="s">
        <v>590</v>
      </c>
    </row>
    <row r="210" spans="2:16">
      <c r="B210">
        <v>26.5</v>
      </c>
      <c r="C210">
        <v>4</v>
      </c>
      <c r="D210">
        <v>140</v>
      </c>
      <c r="E210">
        <v>72</v>
      </c>
      <c r="F210">
        <v>2565</v>
      </c>
      <c r="G210">
        <v>13.6</v>
      </c>
      <c r="H210">
        <v>76</v>
      </c>
      <c r="I210">
        <f>IF(L210=1,1,0)</f>
        <v>1</v>
      </c>
      <c r="J210">
        <f>IF(L210=2,1,0)</f>
        <v>0</v>
      </c>
      <c r="K210">
        <f>IF(L210=3,1,0)</f>
        <v>0</v>
      </c>
      <c r="L210">
        <f>VALUE(LEFT(M210,1))</f>
        <v>1</v>
      </c>
      <c r="M210" t="s">
        <v>423</v>
      </c>
      <c r="N210" t="s">
        <v>475</v>
      </c>
    </row>
    <row r="211" spans="2:16">
      <c r="B211" s="2">
        <v>20</v>
      </c>
      <c r="C211">
        <v>4</v>
      </c>
      <c r="D211">
        <v>130</v>
      </c>
      <c r="E211">
        <v>102</v>
      </c>
      <c r="F211">
        <v>3150</v>
      </c>
      <c r="G211">
        <v>15.7</v>
      </c>
      <c r="H211">
        <v>76</v>
      </c>
      <c r="I211">
        <f>IF(L211=1,1,0)</f>
        <v>0</v>
      </c>
      <c r="J211">
        <f>IF(L211=2,1,0)</f>
        <v>1</v>
      </c>
      <c r="K211">
        <f>IF(L211=3,1,0)</f>
        <v>0</v>
      </c>
      <c r="L211">
        <f>VALUE(LEFT(M211,1))</f>
        <v>2</v>
      </c>
      <c r="M211" t="s">
        <v>525</v>
      </c>
      <c r="N211" t="s">
        <v>611</v>
      </c>
    </row>
    <row r="212" spans="2:16">
      <c r="B212">
        <v>13</v>
      </c>
      <c r="C212">
        <v>8</v>
      </c>
      <c r="D212">
        <v>318</v>
      </c>
      <c r="E212">
        <v>150</v>
      </c>
      <c r="F212">
        <v>3940</v>
      </c>
      <c r="G212">
        <v>13.2</v>
      </c>
      <c r="H212">
        <v>76</v>
      </c>
      <c r="I212">
        <f>IF(L212=1,1,0)</f>
        <v>1</v>
      </c>
      <c r="J212">
        <f>IF(L212=2,1,0)</f>
        <v>0</v>
      </c>
      <c r="K212">
        <f>IF(L212=3,1,0)</f>
        <v>0</v>
      </c>
      <c r="L212">
        <f>VALUE(LEFT(M212,1))</f>
        <v>1</v>
      </c>
      <c r="M212" t="s">
        <v>418</v>
      </c>
      <c r="N212" t="s">
        <v>612</v>
      </c>
      <c r="O212" t="s">
        <v>613</v>
      </c>
      <c r="P212" t="s">
        <v>614</v>
      </c>
    </row>
    <row r="213" spans="2:16">
      <c r="B213">
        <v>19</v>
      </c>
      <c r="C213">
        <v>4</v>
      </c>
      <c r="D213">
        <v>120</v>
      </c>
      <c r="E213">
        <v>88</v>
      </c>
      <c r="F213">
        <v>3270</v>
      </c>
      <c r="G213">
        <v>21.9</v>
      </c>
      <c r="H213">
        <v>76</v>
      </c>
      <c r="I213">
        <f>IF(L213=1,1,0)</f>
        <v>0</v>
      </c>
      <c r="J213">
        <f>IF(L213=2,1,0)</f>
        <v>1</v>
      </c>
      <c r="K213">
        <f>IF(L213=3,1,0)</f>
        <v>0</v>
      </c>
      <c r="L213">
        <f>VALUE(LEFT(M213,1))</f>
        <v>2</v>
      </c>
      <c r="M213" t="s">
        <v>456</v>
      </c>
      <c r="N213" t="s">
        <v>457</v>
      </c>
    </row>
    <row r="214" spans="2:16">
      <c r="B214">
        <v>19</v>
      </c>
      <c r="C214">
        <v>6</v>
      </c>
      <c r="D214">
        <v>156</v>
      </c>
      <c r="E214">
        <v>108</v>
      </c>
      <c r="F214">
        <v>2930</v>
      </c>
      <c r="G214">
        <v>15.5</v>
      </c>
      <c r="H214">
        <v>76</v>
      </c>
      <c r="I214">
        <f>IF(L214=1,1,0)</f>
        <v>0</v>
      </c>
      <c r="J214">
        <f>IF(L214=2,1,0)</f>
        <v>0</v>
      </c>
      <c r="K214">
        <f>IF(L214=3,1,0)</f>
        <v>1</v>
      </c>
      <c r="L214">
        <f>VALUE(LEFT(M214,1))</f>
        <v>3</v>
      </c>
      <c r="M214" t="s">
        <v>444</v>
      </c>
      <c r="N214" t="s">
        <v>446</v>
      </c>
      <c r="O214" t="s">
        <v>447</v>
      </c>
    </row>
    <row r="215" spans="2:16">
      <c r="B215">
        <v>16.5</v>
      </c>
      <c r="C215">
        <v>6</v>
      </c>
      <c r="D215">
        <v>168</v>
      </c>
      <c r="E215">
        <v>120</v>
      </c>
      <c r="F215">
        <v>3820</v>
      </c>
      <c r="G215">
        <v>16.7</v>
      </c>
      <c r="H215">
        <v>76</v>
      </c>
      <c r="I215">
        <f>IF(L215=1,1,0)</f>
        <v>0</v>
      </c>
      <c r="J215">
        <f>IF(L215=2,1,0)</f>
        <v>1</v>
      </c>
      <c r="K215">
        <f>IF(L215=3,1,0)</f>
        <v>0</v>
      </c>
      <c r="L215">
        <f>VALUE(LEFT(M215,1))</f>
        <v>2</v>
      </c>
      <c r="M215" t="s">
        <v>615</v>
      </c>
      <c r="N215" t="s">
        <v>616</v>
      </c>
    </row>
    <row r="216" spans="2:16">
      <c r="B216" s="2">
        <v>16.5</v>
      </c>
      <c r="C216">
        <v>8</v>
      </c>
      <c r="D216">
        <v>350</v>
      </c>
      <c r="E216">
        <v>180</v>
      </c>
      <c r="F216">
        <v>4380</v>
      </c>
      <c r="G216">
        <v>12.1</v>
      </c>
      <c r="H216">
        <v>76</v>
      </c>
      <c r="I216">
        <f>IF(L216=1,1,0)</f>
        <v>1</v>
      </c>
      <c r="J216">
        <f>IF(L216=2,1,0)</f>
        <v>0</v>
      </c>
      <c r="K216">
        <f>IF(L216=3,1,0)</f>
        <v>0</v>
      </c>
      <c r="L216">
        <f>VALUE(LEFT(M216,1))</f>
        <v>1</v>
      </c>
      <c r="M216" t="s">
        <v>617</v>
      </c>
      <c r="N216" t="s">
        <v>618</v>
      </c>
    </row>
    <row r="217" spans="2:16">
      <c r="B217" s="2">
        <v>13</v>
      </c>
      <c r="C217">
        <v>8</v>
      </c>
      <c r="D217">
        <v>350</v>
      </c>
      <c r="E217">
        <v>145</v>
      </c>
      <c r="F217">
        <v>4055</v>
      </c>
      <c r="G217">
        <v>12</v>
      </c>
      <c r="H217">
        <v>76</v>
      </c>
      <c r="I217">
        <f>IF(L217=1,1,0)</f>
        <v>1</v>
      </c>
      <c r="J217">
        <f>IF(L217=2,1,0)</f>
        <v>0</v>
      </c>
      <c r="K217">
        <f>IF(L217=3,1,0)</f>
        <v>0</v>
      </c>
      <c r="L217">
        <f>VALUE(LEFT(M217,1))</f>
        <v>1</v>
      </c>
      <c r="M217" t="s">
        <v>466</v>
      </c>
      <c r="N217" t="s">
        <v>619</v>
      </c>
    </row>
    <row r="218" spans="2:16">
      <c r="B218" s="2">
        <v>13</v>
      </c>
      <c r="C218">
        <v>8</v>
      </c>
      <c r="D218">
        <v>302</v>
      </c>
      <c r="E218">
        <v>130</v>
      </c>
      <c r="F218">
        <v>3870</v>
      </c>
      <c r="G218">
        <v>15</v>
      </c>
      <c r="H218">
        <v>76</v>
      </c>
      <c r="I218">
        <f>IF(L218=1,1,0)</f>
        <v>1</v>
      </c>
      <c r="J218">
        <f>IF(L218=2,1,0)</f>
        <v>0</v>
      </c>
      <c r="K218">
        <f>IF(L218=3,1,0)</f>
        <v>0</v>
      </c>
      <c r="L218">
        <f>VALUE(LEFT(M218,1))</f>
        <v>1</v>
      </c>
      <c r="M218" t="s">
        <v>423</v>
      </c>
      <c r="N218" t="s">
        <v>620</v>
      </c>
    </row>
    <row r="219" spans="2:16">
      <c r="B219">
        <v>13</v>
      </c>
      <c r="C219">
        <v>8</v>
      </c>
      <c r="D219">
        <v>318</v>
      </c>
      <c r="E219">
        <v>150</v>
      </c>
      <c r="F219">
        <v>3755</v>
      </c>
      <c r="G219">
        <v>14</v>
      </c>
      <c r="H219">
        <v>76</v>
      </c>
      <c r="I219">
        <f>IF(L219=1,1,0)</f>
        <v>1</v>
      </c>
      <c r="J219">
        <f>IF(L219=2,1,0)</f>
        <v>0</v>
      </c>
      <c r="K219">
        <f>IF(L219=3,1,0)</f>
        <v>0</v>
      </c>
      <c r="L219">
        <f>VALUE(LEFT(M219,1))</f>
        <v>1</v>
      </c>
      <c r="M219" t="s">
        <v>434</v>
      </c>
      <c r="N219" t="s">
        <v>621</v>
      </c>
    </row>
    <row r="220" spans="2:16">
      <c r="B220">
        <v>31.5</v>
      </c>
      <c r="C220">
        <v>4</v>
      </c>
      <c r="D220">
        <v>98</v>
      </c>
      <c r="E220">
        <v>68</v>
      </c>
      <c r="F220">
        <v>2045</v>
      </c>
      <c r="G220">
        <v>18.5</v>
      </c>
      <c r="H220">
        <v>77</v>
      </c>
      <c r="I220">
        <f>IF(L220=1,1,0)</f>
        <v>0</v>
      </c>
      <c r="J220">
        <f>IF(L220=2,1,0)</f>
        <v>0</v>
      </c>
      <c r="K220">
        <f>IF(L220=3,1,0)</f>
        <v>1</v>
      </c>
      <c r="L220">
        <f>VALUE(LEFT(M220,1))</f>
        <v>3</v>
      </c>
      <c r="M220" t="s">
        <v>575</v>
      </c>
      <c r="N220" t="s">
        <v>622</v>
      </c>
      <c r="O220" t="s">
        <v>596</v>
      </c>
    </row>
    <row r="221" spans="2:16">
      <c r="B221">
        <v>30</v>
      </c>
      <c r="C221">
        <v>4</v>
      </c>
      <c r="D221">
        <v>111</v>
      </c>
      <c r="E221">
        <v>80</v>
      </c>
      <c r="F221">
        <v>2155</v>
      </c>
      <c r="G221">
        <v>14.8</v>
      </c>
      <c r="H221">
        <v>77</v>
      </c>
      <c r="I221">
        <f>IF(L221=1,1,0)</f>
        <v>1</v>
      </c>
      <c r="J221">
        <f>IF(L221=2,1,0)</f>
        <v>0</v>
      </c>
      <c r="K221">
        <f>IF(L221=3,1,0)</f>
        <v>0</v>
      </c>
      <c r="L221">
        <f>VALUE(LEFT(M221,1))</f>
        <v>1</v>
      </c>
      <c r="M221" t="s">
        <v>415</v>
      </c>
      <c r="N221" t="s">
        <v>623</v>
      </c>
      <c r="O221" t="s">
        <v>624</v>
      </c>
      <c r="P221" t="s">
        <v>625</v>
      </c>
    </row>
    <row r="222" spans="2:16">
      <c r="B222">
        <v>36</v>
      </c>
      <c r="C222">
        <v>4</v>
      </c>
      <c r="D222">
        <v>79</v>
      </c>
      <c r="E222">
        <v>58</v>
      </c>
      <c r="F222">
        <v>1825</v>
      </c>
      <c r="G222">
        <v>18.600000000000001</v>
      </c>
      <c r="H222">
        <v>77</v>
      </c>
      <c r="I222">
        <f>IF(L222=1,1,0)</f>
        <v>0</v>
      </c>
      <c r="J222">
        <f>IF(L222=2,1,0)</f>
        <v>1</v>
      </c>
      <c r="K222">
        <f>IF(L222=3,1,0)</f>
        <v>0</v>
      </c>
      <c r="L222">
        <f>VALUE(LEFT(M222,1))</f>
        <v>2</v>
      </c>
      <c r="M222" t="s">
        <v>527</v>
      </c>
      <c r="N222">
        <v>5</v>
      </c>
      <c r="O222" t="s">
        <v>626</v>
      </c>
    </row>
    <row r="223" spans="2:16">
      <c r="B223">
        <v>25.5</v>
      </c>
      <c r="C223">
        <v>4</v>
      </c>
      <c r="D223">
        <v>122</v>
      </c>
      <c r="E223">
        <v>96</v>
      </c>
      <c r="F223">
        <v>2300</v>
      </c>
      <c r="G223">
        <v>15.5</v>
      </c>
      <c r="H223">
        <v>77</v>
      </c>
      <c r="I223">
        <f>IF(L223=1,1,0)</f>
        <v>1</v>
      </c>
      <c r="J223">
        <f>IF(L223=2,1,0)</f>
        <v>0</v>
      </c>
      <c r="K223">
        <f>IF(L223=3,1,0)</f>
        <v>0</v>
      </c>
      <c r="L223">
        <f>VALUE(LEFT(M223,1))</f>
        <v>1</v>
      </c>
      <c r="M223" t="s">
        <v>418</v>
      </c>
      <c r="N223" t="s">
        <v>627</v>
      </c>
      <c r="O223" t="s">
        <v>628</v>
      </c>
    </row>
    <row r="224" spans="2:16">
      <c r="B224">
        <v>33.5</v>
      </c>
      <c r="C224">
        <v>4</v>
      </c>
      <c r="D224">
        <v>85</v>
      </c>
      <c r="E224">
        <v>70</v>
      </c>
      <c r="F224">
        <v>1945</v>
      </c>
      <c r="G224">
        <v>16.8</v>
      </c>
      <c r="H224">
        <v>77</v>
      </c>
      <c r="I224">
        <f>IF(L224=1,1,0)</f>
        <v>0</v>
      </c>
      <c r="J224">
        <f>IF(L224=2,1,0)</f>
        <v>0</v>
      </c>
      <c r="K224">
        <f>IF(L224=3,1,0)</f>
        <v>1</v>
      </c>
      <c r="L224">
        <f>VALUE(LEFT(M224,1))</f>
        <v>3</v>
      </c>
      <c r="M224" t="s">
        <v>451</v>
      </c>
      <c r="N224" t="s">
        <v>629</v>
      </c>
      <c r="O224" t="s">
        <v>630</v>
      </c>
    </row>
    <row r="225" spans="2:16">
      <c r="B225">
        <v>17.5</v>
      </c>
      <c r="C225">
        <v>8</v>
      </c>
      <c r="D225">
        <v>305</v>
      </c>
      <c r="E225">
        <v>145</v>
      </c>
      <c r="F225">
        <v>3880</v>
      </c>
      <c r="G225">
        <v>12.5</v>
      </c>
      <c r="H225">
        <v>77</v>
      </c>
      <c r="I225">
        <f>IF(L225=1,1,0)</f>
        <v>1</v>
      </c>
      <c r="J225">
        <f>IF(L225=2,1,0)</f>
        <v>0</v>
      </c>
      <c r="K225">
        <f>IF(L225=3,1,0)</f>
        <v>0</v>
      </c>
      <c r="L225">
        <f>VALUE(LEFT(M225,1))</f>
        <v>1</v>
      </c>
      <c r="M225" t="s">
        <v>412</v>
      </c>
      <c r="N225" t="s">
        <v>534</v>
      </c>
      <c r="O225" t="s">
        <v>535</v>
      </c>
    </row>
    <row r="226" spans="2:16">
      <c r="B226">
        <v>17</v>
      </c>
      <c r="C226">
        <v>8</v>
      </c>
      <c r="D226">
        <v>260</v>
      </c>
      <c r="E226">
        <v>110</v>
      </c>
      <c r="F226">
        <v>4060</v>
      </c>
      <c r="G226">
        <v>19</v>
      </c>
      <c r="H226">
        <v>77</v>
      </c>
      <c r="I226">
        <f>IF(L226=1,1,0)</f>
        <v>1</v>
      </c>
      <c r="J226">
        <f>IF(L226=2,1,0)</f>
        <v>0</v>
      </c>
      <c r="K226">
        <f>IF(L226=3,1,0)</f>
        <v>0</v>
      </c>
      <c r="L226">
        <f>VALUE(LEFT(M226,1))</f>
        <v>1</v>
      </c>
      <c r="M226" t="s">
        <v>512</v>
      </c>
      <c r="N226" t="s">
        <v>631</v>
      </c>
      <c r="O226" t="s">
        <v>632</v>
      </c>
    </row>
    <row r="227" spans="2:16">
      <c r="B227">
        <v>15.5</v>
      </c>
      <c r="C227">
        <v>8</v>
      </c>
      <c r="D227">
        <v>318</v>
      </c>
      <c r="E227">
        <v>145</v>
      </c>
      <c r="F227">
        <v>4140</v>
      </c>
      <c r="G227">
        <v>13.7</v>
      </c>
      <c r="H227">
        <v>77</v>
      </c>
      <c r="I227">
        <f>IF(L227=1,1,0)</f>
        <v>1</v>
      </c>
      <c r="J227">
        <f>IF(L227=2,1,0)</f>
        <v>0</v>
      </c>
      <c r="K227">
        <f>IF(L227=3,1,0)</f>
        <v>0</v>
      </c>
      <c r="L227">
        <f>VALUE(LEFT(M227,1))</f>
        <v>1</v>
      </c>
      <c r="M227" t="s">
        <v>434</v>
      </c>
      <c r="N227" t="s">
        <v>482</v>
      </c>
      <c r="O227" t="s">
        <v>481</v>
      </c>
    </row>
    <row r="228" spans="2:16">
      <c r="B228">
        <v>15</v>
      </c>
      <c r="C228">
        <v>8</v>
      </c>
      <c r="D228">
        <v>302</v>
      </c>
      <c r="E228">
        <v>130</v>
      </c>
      <c r="F228">
        <v>4295</v>
      </c>
      <c r="G228">
        <v>14.9</v>
      </c>
      <c r="H228">
        <v>77</v>
      </c>
      <c r="I228">
        <f>IF(L228=1,1,0)</f>
        <v>1</v>
      </c>
      <c r="J228">
        <f>IF(L228=2,1,0)</f>
        <v>0</v>
      </c>
      <c r="K228">
        <f>IF(L228=3,1,0)</f>
        <v>0</v>
      </c>
      <c r="L228">
        <f>VALUE(LEFT(M228,1))</f>
        <v>1</v>
      </c>
      <c r="M228" t="s">
        <v>490</v>
      </c>
      <c r="N228" t="s">
        <v>633</v>
      </c>
      <c r="O228" t="s">
        <v>481</v>
      </c>
    </row>
    <row r="229" spans="2:16">
      <c r="B229">
        <v>17.5</v>
      </c>
      <c r="C229">
        <v>6</v>
      </c>
      <c r="D229">
        <v>250</v>
      </c>
      <c r="E229">
        <v>110</v>
      </c>
      <c r="F229">
        <v>3520</v>
      </c>
      <c r="G229">
        <v>16.399999999999999</v>
      </c>
      <c r="H229">
        <v>77</v>
      </c>
      <c r="I229">
        <f>IF(L229=1,1,0)</f>
        <v>1</v>
      </c>
      <c r="J229">
        <f>IF(L229=2,1,0)</f>
        <v>0</v>
      </c>
      <c r="K229">
        <f>IF(L229=3,1,0)</f>
        <v>0</v>
      </c>
      <c r="L229">
        <f>VALUE(LEFT(M229,1))</f>
        <v>1</v>
      </c>
      <c r="M229" t="s">
        <v>412</v>
      </c>
      <c r="N229" t="s">
        <v>634</v>
      </c>
    </row>
    <row r="230" spans="2:16">
      <c r="B230">
        <v>20.5</v>
      </c>
      <c r="C230">
        <v>6</v>
      </c>
      <c r="D230">
        <v>231</v>
      </c>
      <c r="E230">
        <v>105</v>
      </c>
      <c r="F230">
        <v>3425</v>
      </c>
      <c r="G230">
        <v>16.899999999999999</v>
      </c>
      <c r="H230">
        <v>77</v>
      </c>
      <c r="I230">
        <f>IF(L230=1,1,0)</f>
        <v>1</v>
      </c>
      <c r="J230">
        <f>IF(L230=2,1,0)</f>
        <v>0</v>
      </c>
      <c r="K230">
        <f>IF(L230=3,1,0)</f>
        <v>0</v>
      </c>
      <c r="L230">
        <f>VALUE(LEFT(M230,1))</f>
        <v>1</v>
      </c>
      <c r="M230" t="s">
        <v>415</v>
      </c>
      <c r="N230" t="s">
        <v>635</v>
      </c>
    </row>
    <row r="231" spans="2:16">
      <c r="B231">
        <v>19</v>
      </c>
      <c r="C231">
        <v>6</v>
      </c>
      <c r="D231">
        <v>225</v>
      </c>
      <c r="E231">
        <v>100</v>
      </c>
      <c r="F231">
        <v>3630</v>
      </c>
      <c r="G231">
        <v>17.7</v>
      </c>
      <c r="H231">
        <v>77</v>
      </c>
      <c r="I231">
        <f>IF(L231=1,1,0)</f>
        <v>1</v>
      </c>
      <c r="J231">
        <f>IF(L231=2,1,0)</f>
        <v>0</v>
      </c>
      <c r="K231">
        <f>IF(L231=3,1,0)</f>
        <v>0</v>
      </c>
      <c r="L231">
        <f>VALUE(LEFT(M231,1))</f>
        <v>1</v>
      </c>
      <c r="M231" t="s">
        <v>418</v>
      </c>
      <c r="N231" t="s">
        <v>612</v>
      </c>
      <c r="O231" t="s">
        <v>477</v>
      </c>
    </row>
    <row r="232" spans="2:16">
      <c r="B232">
        <v>18.5</v>
      </c>
      <c r="C232">
        <v>6</v>
      </c>
      <c r="D232">
        <v>250</v>
      </c>
      <c r="E232">
        <v>98</v>
      </c>
      <c r="F232">
        <v>3525</v>
      </c>
      <c r="G232">
        <v>19</v>
      </c>
      <c r="H232">
        <v>77</v>
      </c>
      <c r="I232">
        <f>IF(L232=1,1,0)</f>
        <v>1</v>
      </c>
      <c r="J232">
        <f>IF(L232=2,1,0)</f>
        <v>0</v>
      </c>
      <c r="K232">
        <f>IF(L232=3,1,0)</f>
        <v>0</v>
      </c>
      <c r="L232">
        <f>VALUE(LEFT(M232,1))</f>
        <v>1</v>
      </c>
      <c r="M232" t="s">
        <v>423</v>
      </c>
      <c r="N232" t="s">
        <v>636</v>
      </c>
    </row>
    <row r="233" spans="2:16">
      <c r="B233">
        <v>16</v>
      </c>
      <c r="C233">
        <v>8</v>
      </c>
      <c r="D233">
        <v>400</v>
      </c>
      <c r="E233">
        <v>180</v>
      </c>
      <c r="F233">
        <v>4220</v>
      </c>
      <c r="G233">
        <v>11.1</v>
      </c>
      <c r="H233">
        <v>77</v>
      </c>
      <c r="I233">
        <f>IF(L233=1,1,0)</f>
        <v>1</v>
      </c>
      <c r="J233">
        <f>IF(L233=2,1,0)</f>
        <v>0</v>
      </c>
      <c r="K233">
        <f>IF(L233=3,1,0)</f>
        <v>0</v>
      </c>
      <c r="L233">
        <f>VALUE(LEFT(M233,1))</f>
        <v>1</v>
      </c>
      <c r="M233" t="s">
        <v>430</v>
      </c>
      <c r="N233" t="s">
        <v>556</v>
      </c>
      <c r="O233" t="s">
        <v>637</v>
      </c>
      <c r="P233" t="s">
        <v>638</v>
      </c>
    </row>
    <row r="234" spans="2:16">
      <c r="B234">
        <v>15.5</v>
      </c>
      <c r="C234">
        <v>8</v>
      </c>
      <c r="D234">
        <v>350</v>
      </c>
      <c r="E234">
        <v>170</v>
      </c>
      <c r="F234">
        <v>4165</v>
      </c>
      <c r="G234">
        <v>11.4</v>
      </c>
      <c r="H234">
        <v>77</v>
      </c>
      <c r="I234">
        <f>IF(L234=1,1,0)</f>
        <v>1</v>
      </c>
      <c r="J234">
        <f>IF(L234=2,1,0)</f>
        <v>0</v>
      </c>
      <c r="K234">
        <f>IF(L234=3,1,0)</f>
        <v>0</v>
      </c>
      <c r="L234">
        <f>VALUE(LEFT(M234,1))</f>
        <v>1</v>
      </c>
      <c r="M234" t="s">
        <v>412</v>
      </c>
      <c r="N234" t="s">
        <v>439</v>
      </c>
      <c r="O234" t="s">
        <v>554</v>
      </c>
      <c r="P234" t="s">
        <v>639</v>
      </c>
    </row>
    <row r="235" spans="2:16">
      <c r="B235">
        <v>15.5</v>
      </c>
      <c r="C235">
        <v>8</v>
      </c>
      <c r="D235">
        <v>400</v>
      </c>
      <c r="E235">
        <v>190</v>
      </c>
      <c r="F235">
        <v>4325</v>
      </c>
      <c r="G235">
        <v>12.2</v>
      </c>
      <c r="H235">
        <v>77</v>
      </c>
      <c r="I235">
        <f>IF(L235=1,1,0)</f>
        <v>1</v>
      </c>
      <c r="J235">
        <f>IF(L235=2,1,0)</f>
        <v>0</v>
      </c>
      <c r="K235">
        <f>IF(L235=3,1,0)</f>
        <v>0</v>
      </c>
      <c r="L235">
        <f>VALUE(LEFT(M235,1))</f>
        <v>1</v>
      </c>
      <c r="M235" t="s">
        <v>515</v>
      </c>
      <c r="N235" t="s">
        <v>640</v>
      </c>
    </row>
    <row r="236" spans="2:16">
      <c r="B236">
        <v>16</v>
      </c>
      <c r="C236">
        <v>8</v>
      </c>
      <c r="D236">
        <v>351</v>
      </c>
      <c r="E236">
        <v>149</v>
      </c>
      <c r="F236">
        <v>4335</v>
      </c>
      <c r="G236">
        <v>14.5</v>
      </c>
      <c r="H236">
        <v>77</v>
      </c>
      <c r="I236">
        <f>IF(L236=1,1,0)</f>
        <v>1</v>
      </c>
      <c r="J236">
        <f>IF(L236=2,1,0)</f>
        <v>0</v>
      </c>
      <c r="K236">
        <f>IF(L236=3,1,0)</f>
        <v>0</v>
      </c>
      <c r="L236">
        <f>VALUE(LEFT(M236,1))</f>
        <v>1</v>
      </c>
      <c r="M236" t="s">
        <v>423</v>
      </c>
      <c r="N236" t="s">
        <v>641</v>
      </c>
    </row>
    <row r="237" spans="2:16">
      <c r="B237">
        <v>29</v>
      </c>
      <c r="C237">
        <v>4</v>
      </c>
      <c r="D237">
        <v>97</v>
      </c>
      <c r="E237">
        <v>78</v>
      </c>
      <c r="F237">
        <v>1940</v>
      </c>
      <c r="G237">
        <v>14.5</v>
      </c>
      <c r="H237">
        <v>77</v>
      </c>
      <c r="I237">
        <f>IF(L237=1,1,0)</f>
        <v>0</v>
      </c>
      <c r="J237">
        <f>IF(L237=2,1,0)</f>
        <v>1</v>
      </c>
      <c r="K237">
        <f>IF(L237=3,1,0)</f>
        <v>0</v>
      </c>
      <c r="L237">
        <f>VALUE(LEFT(M237,1))</f>
        <v>2</v>
      </c>
      <c r="M237" t="s">
        <v>453</v>
      </c>
      <c r="N237" t="s">
        <v>642</v>
      </c>
      <c r="O237" t="s">
        <v>477</v>
      </c>
    </row>
    <row r="238" spans="2:16">
      <c r="B238">
        <v>24.5</v>
      </c>
      <c r="C238">
        <v>4</v>
      </c>
      <c r="D238">
        <v>151</v>
      </c>
      <c r="E238">
        <v>88</v>
      </c>
      <c r="F238">
        <v>2740</v>
      </c>
      <c r="G238">
        <v>16</v>
      </c>
      <c r="H238">
        <v>77</v>
      </c>
      <c r="I238">
        <f>IF(L238=1,1,0)</f>
        <v>1</v>
      </c>
      <c r="J238">
        <f>IF(L238=2,1,0)</f>
        <v>0</v>
      </c>
      <c r="K238">
        <f>IF(L238=3,1,0)</f>
        <v>0</v>
      </c>
      <c r="L238">
        <f>VALUE(LEFT(M238,1))</f>
        <v>1</v>
      </c>
      <c r="M238" t="s">
        <v>430</v>
      </c>
      <c r="N238" t="s">
        <v>643</v>
      </c>
      <c r="O238" t="s">
        <v>520</v>
      </c>
    </row>
    <row r="239" spans="2:16">
      <c r="B239">
        <v>26</v>
      </c>
      <c r="C239">
        <v>4</v>
      </c>
      <c r="D239">
        <v>97</v>
      </c>
      <c r="E239">
        <v>75</v>
      </c>
      <c r="F239">
        <v>2265</v>
      </c>
      <c r="G239">
        <v>18.2</v>
      </c>
      <c r="H239">
        <v>77</v>
      </c>
      <c r="I239">
        <f>IF(L239=1,1,0)</f>
        <v>0</v>
      </c>
      <c r="J239">
        <f>IF(L239=2,1,0)</f>
        <v>0</v>
      </c>
      <c r="K239">
        <f>IF(L239=3,1,0)</f>
        <v>1</v>
      </c>
      <c r="L239">
        <f>VALUE(LEFT(M239,1))</f>
        <v>3</v>
      </c>
      <c r="M239" t="s">
        <v>444</v>
      </c>
      <c r="N239" t="s">
        <v>498</v>
      </c>
      <c r="O239" t="s">
        <v>644</v>
      </c>
    </row>
    <row r="240" spans="2:16">
      <c r="B240">
        <v>25.5</v>
      </c>
      <c r="C240">
        <v>4</v>
      </c>
      <c r="D240">
        <v>140</v>
      </c>
      <c r="E240">
        <v>89</v>
      </c>
      <c r="F240">
        <v>2755</v>
      </c>
      <c r="G240">
        <v>15.8</v>
      </c>
      <c r="H240">
        <v>77</v>
      </c>
      <c r="I240">
        <f>IF(L240=1,1,0)</f>
        <v>1</v>
      </c>
      <c r="J240">
        <f>IF(L240=2,1,0)</f>
        <v>0</v>
      </c>
      <c r="K240">
        <f>IF(L240=3,1,0)</f>
        <v>0</v>
      </c>
      <c r="L240">
        <f>VALUE(LEFT(M240,1))</f>
        <v>1</v>
      </c>
      <c r="M240" t="s">
        <v>423</v>
      </c>
      <c r="N240" t="s">
        <v>589</v>
      </c>
      <c r="O240" t="s">
        <v>529</v>
      </c>
      <c r="P240" t="s">
        <v>588</v>
      </c>
    </row>
    <row r="241" spans="2:16">
      <c r="B241">
        <v>30.5</v>
      </c>
      <c r="C241">
        <v>4</v>
      </c>
      <c r="D241">
        <v>98</v>
      </c>
      <c r="E241">
        <v>63</v>
      </c>
      <c r="F241">
        <v>2051</v>
      </c>
      <c r="G241">
        <v>17</v>
      </c>
      <c r="H241">
        <v>77</v>
      </c>
      <c r="I241">
        <f>IF(L241=1,1,0)</f>
        <v>1</v>
      </c>
      <c r="J241">
        <f>IF(L241=2,1,0)</f>
        <v>0</v>
      </c>
      <c r="K241">
        <f>IF(L241=3,1,0)</f>
        <v>0</v>
      </c>
      <c r="L241">
        <f>VALUE(LEFT(M241,1))</f>
        <v>1</v>
      </c>
      <c r="M241" t="s">
        <v>412</v>
      </c>
      <c r="N241" t="s">
        <v>600</v>
      </c>
    </row>
    <row r="242" spans="2:16">
      <c r="B242">
        <v>33.5</v>
      </c>
      <c r="C242">
        <v>4</v>
      </c>
      <c r="D242">
        <v>98</v>
      </c>
      <c r="E242">
        <v>83</v>
      </c>
      <c r="F242">
        <v>2075</v>
      </c>
      <c r="G242">
        <v>15.9</v>
      </c>
      <c r="H242">
        <v>77</v>
      </c>
      <c r="I242">
        <f>IF(L242=1,1,0)</f>
        <v>1</v>
      </c>
      <c r="J242">
        <f>IF(L242=2,1,0)</f>
        <v>0</v>
      </c>
      <c r="K242">
        <f>IF(L242=3,1,0)</f>
        <v>0</v>
      </c>
      <c r="L242">
        <f>VALUE(LEFT(M242,1))</f>
        <v>1</v>
      </c>
      <c r="M242" t="s">
        <v>434</v>
      </c>
      <c r="N242" t="s">
        <v>504</v>
      </c>
      <c r="O242" t="s">
        <v>645</v>
      </c>
    </row>
    <row r="243" spans="2:16">
      <c r="B243">
        <v>30</v>
      </c>
      <c r="C243">
        <v>4</v>
      </c>
      <c r="D243">
        <v>97</v>
      </c>
      <c r="E243">
        <v>67</v>
      </c>
      <c r="F243">
        <v>1985</v>
      </c>
      <c r="G243">
        <v>16.399999999999999</v>
      </c>
      <c r="H243">
        <v>77</v>
      </c>
      <c r="I243">
        <f>IF(L243=1,1,0)</f>
        <v>0</v>
      </c>
      <c r="J243">
        <f>IF(L243=2,1,0)</f>
        <v>0</v>
      </c>
      <c r="K243">
        <f>IF(L243=3,1,0)</f>
        <v>1</v>
      </c>
      <c r="L243">
        <f>VALUE(LEFT(M243,1))</f>
        <v>3</v>
      </c>
      <c r="M243" t="s">
        <v>646</v>
      </c>
      <c r="N243" t="s">
        <v>647</v>
      </c>
    </row>
    <row r="244" spans="2:16">
      <c r="B244">
        <v>30.5</v>
      </c>
      <c r="C244">
        <v>4</v>
      </c>
      <c r="D244">
        <v>97</v>
      </c>
      <c r="E244">
        <v>78</v>
      </c>
      <c r="F244">
        <v>2190</v>
      </c>
      <c r="G244">
        <v>14.1</v>
      </c>
      <c r="H244">
        <v>77</v>
      </c>
      <c r="I244">
        <f>IF(L244=1,1,0)</f>
        <v>0</v>
      </c>
      <c r="J244">
        <f>IF(L244=2,1,0)</f>
        <v>1</v>
      </c>
      <c r="K244">
        <f>IF(L244=3,1,0)</f>
        <v>0</v>
      </c>
      <c r="L244">
        <f>VALUE(LEFT(M244,1))</f>
        <v>2</v>
      </c>
      <c r="M244" t="s">
        <v>453</v>
      </c>
      <c r="N244" t="s">
        <v>571</v>
      </c>
    </row>
    <row r="245" spans="2:16">
      <c r="B245">
        <v>22</v>
      </c>
      <c r="C245">
        <v>6</v>
      </c>
      <c r="D245">
        <v>146</v>
      </c>
      <c r="E245">
        <v>97</v>
      </c>
      <c r="F245">
        <v>2815</v>
      </c>
      <c r="G245">
        <v>14.5</v>
      </c>
      <c r="H245">
        <v>77</v>
      </c>
      <c r="I245">
        <f>IF(L245=1,1,0)</f>
        <v>0</v>
      </c>
      <c r="J245">
        <f>IF(L245=2,1,0)</f>
        <v>0</v>
      </c>
      <c r="K245">
        <f>IF(L245=3,1,0)</f>
        <v>1</v>
      </c>
      <c r="L245">
        <f>VALUE(LEFT(M245,1))</f>
        <v>3</v>
      </c>
      <c r="M245" t="s">
        <v>451</v>
      </c>
      <c r="N245" t="s">
        <v>648</v>
      </c>
    </row>
    <row r="246" spans="2:16">
      <c r="B246">
        <v>21.5</v>
      </c>
      <c r="C246">
        <v>4</v>
      </c>
      <c r="D246">
        <v>121</v>
      </c>
      <c r="E246">
        <v>110</v>
      </c>
      <c r="F246">
        <v>2600</v>
      </c>
      <c r="G246">
        <v>12.8</v>
      </c>
      <c r="H246">
        <v>77</v>
      </c>
      <c r="I246">
        <f>IF(L246=1,1,0)</f>
        <v>0</v>
      </c>
      <c r="J246">
        <f>IF(L246=2,1,0)</f>
        <v>1</v>
      </c>
      <c r="K246">
        <f>IF(L246=3,1,0)</f>
        <v>0</v>
      </c>
      <c r="L246">
        <f>VALUE(LEFT(M246,1))</f>
        <v>2</v>
      </c>
      <c r="M246" t="s">
        <v>462</v>
      </c>
      <c r="N246" t="s">
        <v>649</v>
      </c>
    </row>
    <row r="247" spans="2:16">
      <c r="B247">
        <v>21.5</v>
      </c>
      <c r="C247">
        <v>3</v>
      </c>
      <c r="D247">
        <v>80</v>
      </c>
      <c r="E247">
        <v>110</v>
      </c>
      <c r="F247">
        <v>2720</v>
      </c>
      <c r="G247">
        <v>13.5</v>
      </c>
      <c r="H247">
        <v>77</v>
      </c>
      <c r="I247">
        <f>IF(L247=1,1,0)</f>
        <v>0</v>
      </c>
      <c r="J247">
        <f>IF(L247=2,1,0)</f>
        <v>0</v>
      </c>
      <c r="K247">
        <f>IF(L247=3,1,0)</f>
        <v>1</v>
      </c>
      <c r="L247">
        <f>VALUE(LEFT(M247,1))</f>
        <v>3</v>
      </c>
      <c r="M247" t="s">
        <v>518</v>
      </c>
      <c r="N247" t="s">
        <v>650</v>
      </c>
    </row>
    <row r="248" spans="2:16">
      <c r="B248">
        <v>43.1</v>
      </c>
      <c r="C248">
        <v>4</v>
      </c>
      <c r="D248">
        <v>90</v>
      </c>
      <c r="E248">
        <v>48</v>
      </c>
      <c r="F248">
        <v>1985</v>
      </c>
      <c r="G248">
        <v>21.5</v>
      </c>
      <c r="H248">
        <v>78</v>
      </c>
      <c r="I248">
        <f>IF(L248=1,1,0)</f>
        <v>0</v>
      </c>
      <c r="J248">
        <f>IF(L248=2,1,0)</f>
        <v>1</v>
      </c>
      <c r="K248">
        <f>IF(L248=3,1,0)</f>
        <v>0</v>
      </c>
      <c r="L248">
        <f>VALUE(LEFT(M248,1))</f>
        <v>2</v>
      </c>
      <c r="M248" t="s">
        <v>453</v>
      </c>
      <c r="N248" t="s">
        <v>642</v>
      </c>
      <c r="O248" t="s">
        <v>524</v>
      </c>
      <c r="P248" t="s">
        <v>651</v>
      </c>
    </row>
    <row r="249" spans="2:16">
      <c r="B249">
        <v>36.1</v>
      </c>
      <c r="C249">
        <v>4</v>
      </c>
      <c r="D249">
        <v>98</v>
      </c>
      <c r="E249">
        <v>66</v>
      </c>
      <c r="F249">
        <v>1800</v>
      </c>
      <c r="G249">
        <v>14.4</v>
      </c>
      <c r="H249">
        <v>78</v>
      </c>
      <c r="I249">
        <f>IF(L249=1,1,0)</f>
        <v>1</v>
      </c>
      <c r="J249">
        <f>IF(L249=2,1,0)</f>
        <v>0</v>
      </c>
      <c r="K249">
        <f>IF(L249=3,1,0)</f>
        <v>0</v>
      </c>
      <c r="L249">
        <f>VALUE(LEFT(M249,1))</f>
        <v>1</v>
      </c>
      <c r="M249" t="s">
        <v>423</v>
      </c>
      <c r="N249" t="s">
        <v>652</v>
      </c>
    </row>
    <row r="250" spans="2:16">
      <c r="B250">
        <v>32.799999999999997</v>
      </c>
      <c r="C250">
        <v>4</v>
      </c>
      <c r="D250">
        <v>78</v>
      </c>
      <c r="E250">
        <v>52</v>
      </c>
      <c r="F250">
        <v>1985</v>
      </c>
      <c r="G250">
        <v>19.399999999999999</v>
      </c>
      <c r="H250">
        <v>78</v>
      </c>
      <c r="I250">
        <f>IF(L250=1,1,0)</f>
        <v>0</v>
      </c>
      <c r="J250">
        <f>IF(L250=2,1,0)</f>
        <v>0</v>
      </c>
      <c r="K250">
        <f>IF(L250=3,1,0)</f>
        <v>1</v>
      </c>
      <c r="L250">
        <f>VALUE(LEFT(M250,1))</f>
        <v>3</v>
      </c>
      <c r="M250" t="s">
        <v>518</v>
      </c>
      <c r="N250" t="s">
        <v>653</v>
      </c>
      <c r="O250" t="s">
        <v>625</v>
      </c>
    </row>
    <row r="251" spans="2:16">
      <c r="B251">
        <v>39.4</v>
      </c>
      <c r="C251">
        <v>4</v>
      </c>
      <c r="D251">
        <v>85</v>
      </c>
      <c r="E251">
        <v>70</v>
      </c>
      <c r="F251">
        <v>2070</v>
      </c>
      <c r="G251">
        <v>18.600000000000001</v>
      </c>
      <c r="H251">
        <v>78</v>
      </c>
      <c r="I251">
        <f>IF(L251=1,1,0)</f>
        <v>0</v>
      </c>
      <c r="J251">
        <f>IF(L251=2,1,0)</f>
        <v>0</v>
      </c>
      <c r="K251">
        <f>IF(L251=3,1,0)</f>
        <v>1</v>
      </c>
      <c r="L251">
        <f>VALUE(LEFT(M251,1))</f>
        <v>3</v>
      </c>
      <c r="M251" t="s">
        <v>451</v>
      </c>
      <c r="N251" t="s">
        <v>654</v>
      </c>
      <c r="O251" t="s">
        <v>655</v>
      </c>
    </row>
    <row r="252" spans="2:16">
      <c r="B252">
        <v>36.1</v>
      </c>
      <c r="C252">
        <v>4</v>
      </c>
      <c r="D252">
        <v>91</v>
      </c>
      <c r="E252">
        <v>60</v>
      </c>
      <c r="F252">
        <v>1800</v>
      </c>
      <c r="G252">
        <v>16.399999999999999</v>
      </c>
      <c r="H252">
        <v>78</v>
      </c>
      <c r="I252">
        <f>IF(L252=1,1,0)</f>
        <v>0</v>
      </c>
      <c r="J252">
        <f>IF(L252=2,1,0)</f>
        <v>0</v>
      </c>
      <c r="K252">
        <f>IF(L252=3,1,0)</f>
        <v>1</v>
      </c>
      <c r="L252">
        <f>VALUE(LEFT(M252,1))</f>
        <v>3</v>
      </c>
      <c r="M252" t="s">
        <v>575</v>
      </c>
      <c r="N252" t="s">
        <v>595</v>
      </c>
      <c r="O252" t="s">
        <v>596</v>
      </c>
    </row>
    <row r="253" spans="2:16">
      <c r="B253">
        <v>19.899999999999999</v>
      </c>
      <c r="C253">
        <v>8</v>
      </c>
      <c r="D253">
        <v>260</v>
      </c>
      <c r="E253">
        <v>110</v>
      </c>
      <c r="F253">
        <v>3365</v>
      </c>
      <c r="G253">
        <v>15.5</v>
      </c>
      <c r="H253">
        <v>78</v>
      </c>
      <c r="I253">
        <f>IF(L253=1,1,0)</f>
        <v>1</v>
      </c>
      <c r="J253">
        <f>IF(L253=2,1,0)</f>
        <v>0</v>
      </c>
      <c r="K253">
        <f>IF(L253=3,1,0)</f>
        <v>0</v>
      </c>
      <c r="L253">
        <f>VALUE(LEFT(M253,1))</f>
        <v>1</v>
      </c>
      <c r="M253" t="s">
        <v>512</v>
      </c>
      <c r="N253" t="s">
        <v>631</v>
      </c>
      <c r="O253" t="s">
        <v>656</v>
      </c>
      <c r="P253" t="s">
        <v>481</v>
      </c>
    </row>
    <row r="254" spans="2:16">
      <c r="B254">
        <v>19.399999999999999</v>
      </c>
      <c r="C254">
        <v>8</v>
      </c>
      <c r="D254">
        <v>318</v>
      </c>
      <c r="E254">
        <v>140</v>
      </c>
      <c r="F254">
        <v>3735</v>
      </c>
      <c r="G254">
        <v>13.2</v>
      </c>
      <c r="H254">
        <v>78</v>
      </c>
      <c r="I254">
        <f>IF(L254=1,1,0)</f>
        <v>1</v>
      </c>
      <c r="J254">
        <f>IF(L254=2,1,0)</f>
        <v>0</v>
      </c>
      <c r="K254">
        <f>IF(L254=3,1,0)</f>
        <v>0</v>
      </c>
      <c r="L254">
        <f>VALUE(LEFT(M254,1))</f>
        <v>1</v>
      </c>
      <c r="M254" t="s">
        <v>434</v>
      </c>
      <c r="N254" t="s">
        <v>657</v>
      </c>
    </row>
    <row r="255" spans="2:16">
      <c r="B255">
        <v>20.2</v>
      </c>
      <c r="C255">
        <v>8</v>
      </c>
      <c r="D255">
        <v>302</v>
      </c>
      <c r="E255">
        <v>139</v>
      </c>
      <c r="F255">
        <v>3570</v>
      </c>
      <c r="G255">
        <v>12.8</v>
      </c>
      <c r="H255">
        <v>78</v>
      </c>
      <c r="I255">
        <f>IF(L255=1,1,0)</f>
        <v>1</v>
      </c>
      <c r="J255">
        <f>IF(L255=2,1,0)</f>
        <v>0</v>
      </c>
      <c r="K255">
        <f>IF(L255=3,1,0)</f>
        <v>0</v>
      </c>
      <c r="L255">
        <f>VALUE(LEFT(M255,1))</f>
        <v>1</v>
      </c>
      <c r="M255" t="s">
        <v>490</v>
      </c>
      <c r="N255" t="s">
        <v>658</v>
      </c>
      <c r="O255" t="s">
        <v>605</v>
      </c>
    </row>
    <row r="256" spans="2:16">
      <c r="B256">
        <v>19.2</v>
      </c>
      <c r="C256">
        <v>6</v>
      </c>
      <c r="D256">
        <v>231</v>
      </c>
      <c r="E256">
        <v>105</v>
      </c>
      <c r="F256">
        <v>3535</v>
      </c>
      <c r="G256">
        <v>19.2</v>
      </c>
      <c r="H256">
        <v>78</v>
      </c>
      <c r="I256">
        <f>IF(L256=1,1,0)</f>
        <v>1</v>
      </c>
      <c r="J256">
        <f>IF(L256=2,1,0)</f>
        <v>0</v>
      </c>
      <c r="K256">
        <f>IF(L256=3,1,0)</f>
        <v>0</v>
      </c>
      <c r="L256">
        <f>VALUE(LEFT(M256,1))</f>
        <v>1</v>
      </c>
      <c r="M256" t="s">
        <v>430</v>
      </c>
      <c r="N256" t="s">
        <v>659</v>
      </c>
      <c r="O256" t="s">
        <v>638</v>
      </c>
    </row>
    <row r="257" spans="2:17">
      <c r="B257">
        <v>20.5</v>
      </c>
      <c r="C257">
        <v>6</v>
      </c>
      <c r="D257">
        <v>200</v>
      </c>
      <c r="E257">
        <v>95</v>
      </c>
      <c r="F257">
        <v>3155</v>
      </c>
      <c r="G257">
        <v>18.2</v>
      </c>
      <c r="H257">
        <v>78</v>
      </c>
      <c r="I257">
        <f>IF(L257=1,1,0)</f>
        <v>1</v>
      </c>
      <c r="J257">
        <f>IF(L257=2,1,0)</f>
        <v>0</v>
      </c>
      <c r="K257">
        <f>IF(L257=3,1,0)</f>
        <v>0</v>
      </c>
      <c r="L257">
        <f>VALUE(LEFT(M257,1))</f>
        <v>1</v>
      </c>
      <c r="M257" t="s">
        <v>412</v>
      </c>
      <c r="N257" t="s">
        <v>414</v>
      </c>
    </row>
    <row r="258" spans="2:17">
      <c r="B258">
        <v>20.2</v>
      </c>
      <c r="C258">
        <v>6</v>
      </c>
      <c r="D258">
        <v>200</v>
      </c>
      <c r="E258">
        <v>85</v>
      </c>
      <c r="F258">
        <v>2965</v>
      </c>
      <c r="G258">
        <v>15.8</v>
      </c>
      <c r="H258">
        <v>78</v>
      </c>
      <c r="I258">
        <f>IF(L258=1,1,0)</f>
        <v>1</v>
      </c>
      <c r="J258">
        <f>IF(L258=2,1,0)</f>
        <v>0</v>
      </c>
      <c r="K258">
        <f>IF(L258=3,1,0)</f>
        <v>0</v>
      </c>
      <c r="L258">
        <f>VALUE(LEFT(M258,1))</f>
        <v>1</v>
      </c>
      <c r="M258" t="s">
        <v>423</v>
      </c>
      <c r="N258" t="s">
        <v>660</v>
      </c>
      <c r="O258" t="s">
        <v>661</v>
      </c>
    </row>
    <row r="259" spans="2:17">
      <c r="B259">
        <v>25.1</v>
      </c>
      <c r="C259">
        <v>4</v>
      </c>
      <c r="D259">
        <v>140</v>
      </c>
      <c r="E259">
        <v>88</v>
      </c>
      <c r="F259">
        <v>2720</v>
      </c>
      <c r="G259">
        <v>15.4</v>
      </c>
      <c r="H259">
        <v>78</v>
      </c>
      <c r="I259">
        <f>IF(L259=1,1,0)</f>
        <v>1</v>
      </c>
      <c r="J259">
        <f>IF(L259=2,1,0)</f>
        <v>0</v>
      </c>
      <c r="K259">
        <f>IF(L259=3,1,0)</f>
        <v>0</v>
      </c>
      <c r="L259">
        <f>VALUE(LEFT(M259,1))</f>
        <v>1</v>
      </c>
      <c r="M259" t="s">
        <v>423</v>
      </c>
      <c r="N259" t="s">
        <v>660</v>
      </c>
      <c r="O259" t="s">
        <v>662</v>
      </c>
    </row>
    <row r="260" spans="2:17">
      <c r="B260">
        <v>20.5</v>
      </c>
      <c r="C260">
        <v>6</v>
      </c>
      <c r="D260">
        <v>225</v>
      </c>
      <c r="E260">
        <v>100</v>
      </c>
      <c r="F260">
        <v>3430</v>
      </c>
      <c r="G260">
        <v>17.2</v>
      </c>
      <c r="H260">
        <v>78</v>
      </c>
      <c r="I260">
        <f>IF(L260=1,1,0)</f>
        <v>1</v>
      </c>
      <c r="J260">
        <f>IF(L260=2,1,0)</f>
        <v>0</v>
      </c>
      <c r="K260">
        <f>IF(L260=3,1,0)</f>
        <v>0</v>
      </c>
      <c r="L260">
        <f>VALUE(LEFT(M260,1))</f>
        <v>1</v>
      </c>
      <c r="M260" t="s">
        <v>418</v>
      </c>
      <c r="N260" t="s">
        <v>663</v>
      </c>
    </row>
    <row r="261" spans="2:17">
      <c r="B261">
        <v>19.399999999999999</v>
      </c>
      <c r="C261">
        <v>6</v>
      </c>
      <c r="D261">
        <v>232</v>
      </c>
      <c r="E261">
        <v>90</v>
      </c>
      <c r="F261">
        <v>3210</v>
      </c>
      <c r="G261">
        <v>17.2</v>
      </c>
      <c r="H261">
        <v>78</v>
      </c>
      <c r="I261">
        <f>IF(L261=1,1,0)</f>
        <v>1</v>
      </c>
      <c r="J261">
        <f>IF(L261=2,1,0)</f>
        <v>0</v>
      </c>
      <c r="K261">
        <f>IF(L261=3,1,0)</f>
        <v>0</v>
      </c>
      <c r="L261">
        <f>VALUE(LEFT(M261,1))</f>
        <v>1</v>
      </c>
      <c r="M261" t="s">
        <v>420</v>
      </c>
      <c r="N261" t="s">
        <v>664</v>
      </c>
    </row>
    <row r="262" spans="2:17">
      <c r="B262">
        <v>20.6</v>
      </c>
      <c r="C262">
        <v>6</v>
      </c>
      <c r="D262">
        <v>231</v>
      </c>
      <c r="E262">
        <v>105</v>
      </c>
      <c r="F262">
        <v>3380</v>
      </c>
      <c r="G262">
        <v>15.8</v>
      </c>
      <c r="H262">
        <v>78</v>
      </c>
      <c r="I262">
        <f>IF(L262=1,1,0)</f>
        <v>1</v>
      </c>
      <c r="J262">
        <f>IF(L262=2,1,0)</f>
        <v>0</v>
      </c>
      <c r="K262">
        <f>IF(L262=3,1,0)</f>
        <v>0</v>
      </c>
      <c r="L262">
        <f>VALUE(LEFT(M262,1))</f>
        <v>1</v>
      </c>
      <c r="M262" t="s">
        <v>415</v>
      </c>
      <c r="N262" t="s">
        <v>530</v>
      </c>
      <c r="O262" t="s">
        <v>665</v>
      </c>
    </row>
    <row r="263" spans="2:17">
      <c r="B263">
        <v>20.8</v>
      </c>
      <c r="C263">
        <v>6</v>
      </c>
      <c r="D263">
        <v>200</v>
      </c>
      <c r="E263">
        <v>85</v>
      </c>
      <c r="F263">
        <v>3070</v>
      </c>
      <c r="G263">
        <v>16.7</v>
      </c>
      <c r="H263">
        <v>78</v>
      </c>
      <c r="I263">
        <f>IF(L263=1,1,0)</f>
        <v>1</v>
      </c>
      <c r="J263">
        <f>IF(L263=2,1,0)</f>
        <v>0</v>
      </c>
      <c r="K263">
        <f>IF(L263=3,1,0)</f>
        <v>0</v>
      </c>
      <c r="L263">
        <f>VALUE(LEFT(M263,1))</f>
        <v>1</v>
      </c>
      <c r="M263" t="s">
        <v>490</v>
      </c>
      <c r="N263" t="s">
        <v>666</v>
      </c>
    </row>
    <row r="264" spans="2:17">
      <c r="B264">
        <v>18.600000000000001</v>
      </c>
      <c r="C264">
        <v>6</v>
      </c>
      <c r="D264">
        <v>225</v>
      </c>
      <c r="E264">
        <v>110</v>
      </c>
      <c r="F264">
        <v>3620</v>
      </c>
      <c r="G264">
        <v>18.7</v>
      </c>
      <c r="H264">
        <v>78</v>
      </c>
      <c r="I264">
        <f>IF(L264=1,1,0)</f>
        <v>1</v>
      </c>
      <c r="J264">
        <f>IF(L264=2,1,0)</f>
        <v>0</v>
      </c>
      <c r="K264">
        <f>IF(L264=3,1,0)</f>
        <v>0</v>
      </c>
      <c r="L264">
        <f>VALUE(LEFT(M264,1))</f>
        <v>1</v>
      </c>
      <c r="M264" t="s">
        <v>434</v>
      </c>
      <c r="N264" t="s">
        <v>667</v>
      </c>
    </row>
    <row r="265" spans="2:17">
      <c r="B265">
        <v>18.100000000000001</v>
      </c>
      <c r="C265">
        <v>6</v>
      </c>
      <c r="D265">
        <v>258</v>
      </c>
      <c r="E265">
        <v>120</v>
      </c>
      <c r="F265">
        <v>3410</v>
      </c>
      <c r="G265">
        <v>15.1</v>
      </c>
      <c r="H265">
        <v>78</v>
      </c>
      <c r="I265">
        <f>IF(L265=1,1,0)</f>
        <v>1</v>
      </c>
      <c r="J265">
        <f>IF(L265=2,1,0)</f>
        <v>0</v>
      </c>
      <c r="K265">
        <f>IF(L265=3,1,0)</f>
        <v>0</v>
      </c>
      <c r="L265">
        <f>VALUE(LEFT(M265,1))</f>
        <v>1</v>
      </c>
      <c r="M265" t="s">
        <v>420</v>
      </c>
      <c r="N265" t="s">
        <v>668</v>
      </c>
      <c r="O265" t="s">
        <v>609</v>
      </c>
    </row>
    <row r="266" spans="2:17">
      <c r="B266">
        <v>19.2</v>
      </c>
      <c r="C266">
        <v>8</v>
      </c>
      <c r="D266">
        <v>305</v>
      </c>
      <c r="E266">
        <v>145</v>
      </c>
      <c r="F266">
        <v>3425</v>
      </c>
      <c r="G266">
        <v>13.2</v>
      </c>
      <c r="H266">
        <v>78</v>
      </c>
      <c r="I266">
        <f>IF(L266=1,1,0)</f>
        <v>1</v>
      </c>
      <c r="J266">
        <f>IF(L266=2,1,0)</f>
        <v>0</v>
      </c>
      <c r="K266">
        <f>IF(L266=3,1,0)</f>
        <v>0</v>
      </c>
      <c r="L266">
        <f>VALUE(LEFT(M266,1))</f>
        <v>1</v>
      </c>
      <c r="M266" t="s">
        <v>412</v>
      </c>
      <c r="N266" t="s">
        <v>439</v>
      </c>
      <c r="O266" t="s">
        <v>554</v>
      </c>
      <c r="P266" t="s">
        <v>639</v>
      </c>
    </row>
    <row r="267" spans="2:17">
      <c r="B267">
        <v>17.7</v>
      </c>
      <c r="C267">
        <v>6</v>
      </c>
      <c r="D267">
        <v>231</v>
      </c>
      <c r="E267">
        <v>165</v>
      </c>
      <c r="F267">
        <v>3445</v>
      </c>
      <c r="G267">
        <v>13.4</v>
      </c>
      <c r="H267">
        <v>78</v>
      </c>
      <c r="I267">
        <f>IF(L267=1,1,0)</f>
        <v>1</v>
      </c>
      <c r="J267">
        <f>IF(L267=2,1,0)</f>
        <v>0</v>
      </c>
      <c r="K267">
        <f>IF(L267=3,1,0)</f>
        <v>0</v>
      </c>
      <c r="L267">
        <f>VALUE(LEFT(M267,1))</f>
        <v>1</v>
      </c>
      <c r="M267" t="s">
        <v>415</v>
      </c>
      <c r="N267" t="s">
        <v>669</v>
      </c>
      <c r="O267" t="s">
        <v>553</v>
      </c>
      <c r="P267" t="s">
        <v>670</v>
      </c>
      <c r="Q267" t="s">
        <v>671</v>
      </c>
    </row>
    <row r="268" spans="2:17">
      <c r="B268">
        <v>18.100000000000001</v>
      </c>
      <c r="C268">
        <v>8</v>
      </c>
      <c r="D268">
        <v>302</v>
      </c>
      <c r="E268">
        <v>139</v>
      </c>
      <c r="F268">
        <v>3205</v>
      </c>
      <c r="G268">
        <v>11.2</v>
      </c>
      <c r="H268">
        <v>78</v>
      </c>
      <c r="I268">
        <f>IF(L268=1,1,0)</f>
        <v>1</v>
      </c>
      <c r="J268">
        <f>IF(L268=2,1,0)</f>
        <v>0</v>
      </c>
      <c r="K268">
        <f>IF(L268=3,1,0)</f>
        <v>0</v>
      </c>
      <c r="L268">
        <f>VALUE(LEFT(M268,1))</f>
        <v>1</v>
      </c>
      <c r="M268" t="s">
        <v>423</v>
      </c>
      <c r="N268" t="s">
        <v>672</v>
      </c>
    </row>
    <row r="269" spans="2:17">
      <c r="B269">
        <v>17.5</v>
      </c>
      <c r="C269">
        <v>8</v>
      </c>
      <c r="D269">
        <v>318</v>
      </c>
      <c r="E269">
        <v>140</v>
      </c>
      <c r="F269">
        <v>4080</v>
      </c>
      <c r="G269">
        <v>13.7</v>
      </c>
      <c r="H269">
        <v>78</v>
      </c>
      <c r="I269">
        <f>IF(L269=1,1,0)</f>
        <v>1</v>
      </c>
      <c r="J269">
        <f>IF(L269=2,1,0)</f>
        <v>0</v>
      </c>
      <c r="K269">
        <f>IF(L269=3,1,0)</f>
        <v>0</v>
      </c>
      <c r="L269">
        <f>VALUE(LEFT(M269,1))</f>
        <v>1</v>
      </c>
      <c r="M269" t="s">
        <v>434</v>
      </c>
      <c r="N269" t="s">
        <v>673</v>
      </c>
      <c r="O269" t="s">
        <v>674</v>
      </c>
    </row>
    <row r="270" spans="2:17">
      <c r="B270">
        <v>30</v>
      </c>
      <c r="C270">
        <v>4</v>
      </c>
      <c r="D270">
        <v>98</v>
      </c>
      <c r="E270">
        <v>68</v>
      </c>
      <c r="F270">
        <v>2155</v>
      </c>
      <c r="G270">
        <v>16.5</v>
      </c>
      <c r="H270">
        <v>78</v>
      </c>
      <c r="I270">
        <f>IF(L270=1,1,0)</f>
        <v>1</v>
      </c>
      <c r="J270">
        <f>IF(L270=2,1,0)</f>
        <v>0</v>
      </c>
      <c r="K270">
        <f>IF(L270=3,1,0)</f>
        <v>0</v>
      </c>
      <c r="L270">
        <f>VALUE(LEFT(M270,1))</f>
        <v>1</v>
      </c>
      <c r="M270" t="s">
        <v>412</v>
      </c>
      <c r="N270" t="s">
        <v>600</v>
      </c>
    </row>
    <row r="271" spans="2:17">
      <c r="B271">
        <v>27.5</v>
      </c>
      <c r="C271">
        <v>4</v>
      </c>
      <c r="D271">
        <v>134</v>
      </c>
      <c r="E271">
        <v>95</v>
      </c>
      <c r="F271">
        <v>2560</v>
      </c>
      <c r="G271">
        <v>14.2</v>
      </c>
      <c r="H271">
        <v>78</v>
      </c>
      <c r="I271">
        <f>IF(L271=1,1,0)</f>
        <v>0</v>
      </c>
      <c r="J271">
        <f>IF(L271=2,1,0)</f>
        <v>0</v>
      </c>
      <c r="K271">
        <f>IF(L271=3,1,0)</f>
        <v>1</v>
      </c>
      <c r="L271">
        <f>VALUE(LEFT(M271,1))</f>
        <v>3</v>
      </c>
      <c r="M271" t="s">
        <v>444</v>
      </c>
      <c r="N271" t="s">
        <v>473</v>
      </c>
    </row>
    <row r="272" spans="2:17">
      <c r="B272">
        <v>27.2</v>
      </c>
      <c r="C272">
        <v>4</v>
      </c>
      <c r="D272">
        <v>119</v>
      </c>
      <c r="E272">
        <v>97</v>
      </c>
      <c r="F272">
        <v>2300</v>
      </c>
      <c r="G272">
        <v>14.7</v>
      </c>
      <c r="H272">
        <v>78</v>
      </c>
      <c r="I272">
        <f>IF(L272=1,1,0)</f>
        <v>0</v>
      </c>
      <c r="J272">
        <f>IF(L272=2,1,0)</f>
        <v>0</v>
      </c>
      <c r="K272">
        <f>IF(L272=3,1,0)</f>
        <v>1</v>
      </c>
      <c r="L272">
        <f>VALUE(LEFT(M272,1))</f>
        <v>3</v>
      </c>
      <c r="M272" t="s">
        <v>451</v>
      </c>
      <c r="N272" t="s">
        <v>675</v>
      </c>
    </row>
    <row r="273" spans="2:16">
      <c r="B273">
        <v>30.9</v>
      </c>
      <c r="C273">
        <v>4</v>
      </c>
      <c r="D273">
        <v>105</v>
      </c>
      <c r="E273">
        <v>75</v>
      </c>
      <c r="F273">
        <v>2230</v>
      </c>
      <c r="G273">
        <v>14.5</v>
      </c>
      <c r="H273">
        <v>78</v>
      </c>
      <c r="I273">
        <f>IF(L273=1,1,0)</f>
        <v>1</v>
      </c>
      <c r="J273">
        <f>IF(L273=2,1,0)</f>
        <v>0</v>
      </c>
      <c r="K273">
        <f>IF(L273=3,1,0)</f>
        <v>0</v>
      </c>
      <c r="L273">
        <f>VALUE(LEFT(M273,1))</f>
        <v>1</v>
      </c>
      <c r="M273" t="s">
        <v>434</v>
      </c>
      <c r="N273" t="s">
        <v>676</v>
      </c>
    </row>
    <row r="274" spans="2:16">
      <c r="B274">
        <v>21.1</v>
      </c>
      <c r="C274">
        <v>4</v>
      </c>
      <c r="D274">
        <v>134</v>
      </c>
      <c r="E274">
        <v>95</v>
      </c>
      <c r="F274">
        <v>2515</v>
      </c>
      <c r="G274">
        <v>14.8</v>
      </c>
      <c r="H274">
        <v>78</v>
      </c>
      <c r="I274">
        <f>IF(L274=1,1,0)</f>
        <v>0</v>
      </c>
      <c r="J274">
        <f>IF(L274=2,1,0)</f>
        <v>0</v>
      </c>
      <c r="K274">
        <f>IF(L274=3,1,0)</f>
        <v>1</v>
      </c>
      <c r="L274">
        <f>VALUE(LEFT(M274,1))</f>
        <v>3</v>
      </c>
      <c r="M274" t="s">
        <v>444</v>
      </c>
      <c r="N274" t="s">
        <v>677</v>
      </c>
      <c r="O274" t="s">
        <v>678</v>
      </c>
      <c r="P274" t="s">
        <v>644</v>
      </c>
    </row>
    <row r="275" spans="2:16">
      <c r="B275">
        <v>23.2</v>
      </c>
      <c r="C275">
        <v>4</v>
      </c>
      <c r="D275">
        <v>156</v>
      </c>
      <c r="E275">
        <v>105</v>
      </c>
      <c r="F275">
        <v>2745</v>
      </c>
      <c r="G275">
        <v>16.7</v>
      </c>
      <c r="H275">
        <v>78</v>
      </c>
      <c r="I275">
        <f>IF(L275=1,1,0)</f>
        <v>1</v>
      </c>
      <c r="J275">
        <f>IF(L275=2,1,0)</f>
        <v>0</v>
      </c>
      <c r="K275">
        <f>IF(L275=3,1,0)</f>
        <v>0</v>
      </c>
      <c r="L275">
        <f>VALUE(LEFT(M275,1))</f>
        <v>1</v>
      </c>
      <c r="M275" t="s">
        <v>418</v>
      </c>
      <c r="N275" t="s">
        <v>679</v>
      </c>
    </row>
    <row r="276" spans="2:16">
      <c r="B276">
        <v>23.8</v>
      </c>
      <c r="C276">
        <v>4</v>
      </c>
      <c r="D276">
        <v>151</v>
      </c>
      <c r="E276">
        <v>85</v>
      </c>
      <c r="F276">
        <v>2855</v>
      </c>
      <c r="G276">
        <v>17.600000000000001</v>
      </c>
      <c r="H276">
        <v>78</v>
      </c>
      <c r="I276">
        <f>IF(L276=1,1,0)</f>
        <v>1</v>
      </c>
      <c r="J276">
        <f>IF(L276=2,1,0)</f>
        <v>0</v>
      </c>
      <c r="K276">
        <f>IF(L276=3,1,0)</f>
        <v>0</v>
      </c>
      <c r="L276">
        <f>VALUE(LEFT(M276,1))</f>
        <v>1</v>
      </c>
      <c r="M276" t="s">
        <v>512</v>
      </c>
      <c r="N276" t="s">
        <v>680</v>
      </c>
      <c r="O276" t="s">
        <v>681</v>
      </c>
    </row>
    <row r="277" spans="2:16">
      <c r="B277">
        <v>23.9</v>
      </c>
      <c r="C277">
        <v>4</v>
      </c>
      <c r="D277">
        <v>119</v>
      </c>
      <c r="E277">
        <v>97</v>
      </c>
      <c r="F277">
        <v>2405</v>
      </c>
      <c r="G277">
        <v>14.9</v>
      </c>
      <c r="H277">
        <v>78</v>
      </c>
      <c r="I277">
        <f>IF(L277=1,1,0)</f>
        <v>0</v>
      </c>
      <c r="J277">
        <f>IF(L277=2,1,0)</f>
        <v>0</v>
      </c>
      <c r="K277">
        <f>IF(L277=3,1,0)</f>
        <v>1</v>
      </c>
      <c r="L277">
        <f>VALUE(LEFT(M277,1))</f>
        <v>3</v>
      </c>
      <c r="M277" t="s">
        <v>451</v>
      </c>
      <c r="N277" t="s">
        <v>682</v>
      </c>
    </row>
    <row r="278" spans="2:16">
      <c r="B278">
        <v>20.3</v>
      </c>
      <c r="C278">
        <v>5</v>
      </c>
      <c r="D278">
        <v>131</v>
      </c>
      <c r="E278">
        <v>103</v>
      </c>
      <c r="F278">
        <v>2830</v>
      </c>
      <c r="G278">
        <v>15.9</v>
      </c>
      <c r="H278">
        <v>78</v>
      </c>
      <c r="I278">
        <f>IF(L278=1,1,0)</f>
        <v>0</v>
      </c>
      <c r="J278">
        <f>IF(L278=2,1,0)</f>
        <v>1</v>
      </c>
      <c r="K278">
        <f>IF(L278=3,1,0)</f>
        <v>0</v>
      </c>
      <c r="L278">
        <f>VALUE(LEFT(M278,1))</f>
        <v>2</v>
      </c>
      <c r="M278" t="s">
        <v>458</v>
      </c>
      <c r="N278" t="s">
        <v>683</v>
      </c>
    </row>
    <row r="279" spans="2:16">
      <c r="B279">
        <v>17</v>
      </c>
      <c r="C279">
        <v>6</v>
      </c>
      <c r="D279">
        <v>163</v>
      </c>
      <c r="E279">
        <v>125</v>
      </c>
      <c r="F279">
        <v>3140</v>
      </c>
      <c r="G279">
        <v>13.6</v>
      </c>
      <c r="H279">
        <v>78</v>
      </c>
      <c r="I279">
        <f>IF(L279=1,1,0)</f>
        <v>0</v>
      </c>
      <c r="J279">
        <f>IF(L279=2,1,0)</f>
        <v>1</v>
      </c>
      <c r="K279">
        <f>IF(L279=3,1,0)</f>
        <v>0</v>
      </c>
      <c r="L279">
        <f>VALUE(LEFT(M279,1))</f>
        <v>2</v>
      </c>
      <c r="M279" t="s">
        <v>525</v>
      </c>
      <c r="N279" t="s">
        <v>684</v>
      </c>
    </row>
    <row r="280" spans="2:16">
      <c r="B280">
        <v>21.6</v>
      </c>
      <c r="C280">
        <v>4</v>
      </c>
      <c r="D280">
        <v>121</v>
      </c>
      <c r="E280">
        <v>115</v>
      </c>
      <c r="F280">
        <v>2795</v>
      </c>
      <c r="G280">
        <v>15.7</v>
      </c>
      <c r="H280">
        <v>78</v>
      </c>
      <c r="I280">
        <f>IF(L280=1,1,0)</f>
        <v>0</v>
      </c>
      <c r="J280">
        <f>IF(L280=2,1,0)</f>
        <v>1</v>
      </c>
      <c r="K280">
        <f>IF(L280=3,1,0)</f>
        <v>0</v>
      </c>
      <c r="L280">
        <f>VALUE(LEFT(M280,1))</f>
        <v>2</v>
      </c>
      <c r="M280" t="s">
        <v>460</v>
      </c>
      <c r="N280" t="s">
        <v>685</v>
      </c>
    </row>
    <row r="281" spans="2:16">
      <c r="B281">
        <v>16.2</v>
      </c>
      <c r="C281">
        <v>6</v>
      </c>
      <c r="D281">
        <v>163</v>
      </c>
      <c r="E281">
        <v>133</v>
      </c>
      <c r="F281">
        <v>3410</v>
      </c>
      <c r="G281">
        <v>15.8</v>
      </c>
      <c r="H281">
        <v>78</v>
      </c>
      <c r="I281">
        <f>IF(L281=1,1,0)</f>
        <v>0</v>
      </c>
      <c r="J281">
        <f>IF(L281=2,1,0)</f>
        <v>1</v>
      </c>
      <c r="K281">
        <f>IF(L281=3,1,0)</f>
        <v>0</v>
      </c>
      <c r="L281">
        <f>VALUE(LEFT(M281,1))</f>
        <v>2</v>
      </c>
      <c r="M281" t="s">
        <v>456</v>
      </c>
      <c r="N281" t="s">
        <v>686</v>
      </c>
    </row>
    <row r="282" spans="2:16">
      <c r="B282">
        <v>31.5</v>
      </c>
      <c r="C282">
        <v>4</v>
      </c>
      <c r="D282">
        <v>89</v>
      </c>
      <c r="E282">
        <v>71</v>
      </c>
      <c r="F282">
        <v>1990</v>
      </c>
      <c r="G282">
        <v>14.9</v>
      </c>
      <c r="H282">
        <v>78</v>
      </c>
      <c r="I282">
        <f>IF(L282=1,1,0)</f>
        <v>0</v>
      </c>
      <c r="J282">
        <f>IF(L282=2,1,0)</f>
        <v>1</v>
      </c>
      <c r="K282">
        <f>IF(L282=3,1,0)</f>
        <v>0</v>
      </c>
      <c r="L282">
        <f>VALUE(LEFT(M282,1))</f>
        <v>2</v>
      </c>
      <c r="M282" t="s">
        <v>453</v>
      </c>
      <c r="N282" t="s">
        <v>687</v>
      </c>
    </row>
    <row r="283" spans="2:16">
      <c r="B283">
        <v>29.5</v>
      </c>
      <c r="C283">
        <v>4</v>
      </c>
      <c r="D283">
        <v>98</v>
      </c>
      <c r="E283">
        <v>68</v>
      </c>
      <c r="F283">
        <v>2135</v>
      </c>
      <c r="G283">
        <v>16.600000000000001</v>
      </c>
      <c r="H283">
        <v>78</v>
      </c>
      <c r="I283">
        <f>IF(L283=1,1,0)</f>
        <v>0</v>
      </c>
      <c r="J283">
        <f>IF(L283=2,1,0)</f>
        <v>0</v>
      </c>
      <c r="K283">
        <f>IF(L283=3,1,0)</f>
        <v>1</v>
      </c>
      <c r="L283">
        <f>VALUE(LEFT(M283,1))</f>
        <v>3</v>
      </c>
      <c r="M283" t="s">
        <v>575</v>
      </c>
      <c r="N283" t="s">
        <v>622</v>
      </c>
      <c r="O283" t="s">
        <v>688</v>
      </c>
    </row>
    <row r="284" spans="2:16">
      <c r="B284">
        <v>21.5</v>
      </c>
      <c r="C284">
        <v>6</v>
      </c>
      <c r="D284">
        <v>231</v>
      </c>
      <c r="E284">
        <v>115</v>
      </c>
      <c r="F284">
        <v>3245</v>
      </c>
      <c r="G284">
        <v>15.4</v>
      </c>
      <c r="H284">
        <v>79</v>
      </c>
      <c r="I284">
        <f>IF(L284=1,1,0)</f>
        <v>1</v>
      </c>
      <c r="J284">
        <f>IF(L284=2,1,0)</f>
        <v>0</v>
      </c>
      <c r="K284">
        <f>IF(L284=3,1,0)</f>
        <v>0</v>
      </c>
      <c r="L284">
        <f>VALUE(LEFT(M284,1))</f>
        <v>1</v>
      </c>
      <c r="M284" t="s">
        <v>430</v>
      </c>
      <c r="N284" t="s">
        <v>689</v>
      </c>
      <c r="O284" t="s">
        <v>552</v>
      </c>
    </row>
    <row r="285" spans="2:16">
      <c r="B285">
        <v>19.8</v>
      </c>
      <c r="C285">
        <v>6</v>
      </c>
      <c r="D285">
        <v>200</v>
      </c>
      <c r="E285">
        <v>85</v>
      </c>
      <c r="F285">
        <v>2990</v>
      </c>
      <c r="G285">
        <v>18.2</v>
      </c>
      <c r="H285">
        <v>79</v>
      </c>
      <c r="I285">
        <f>IF(L285=1,1,0)</f>
        <v>1</v>
      </c>
      <c r="J285">
        <f>IF(L285=2,1,0)</f>
        <v>0</v>
      </c>
      <c r="K285">
        <f>IF(L285=3,1,0)</f>
        <v>0</v>
      </c>
      <c r="L285">
        <f>VALUE(LEFT(M285,1))</f>
        <v>1</v>
      </c>
      <c r="M285" t="s">
        <v>490</v>
      </c>
      <c r="N285" t="s">
        <v>690</v>
      </c>
      <c r="O285" t="s">
        <v>691</v>
      </c>
    </row>
    <row r="286" spans="2:16">
      <c r="B286">
        <v>22.3</v>
      </c>
      <c r="C286">
        <v>4</v>
      </c>
      <c r="D286">
        <v>140</v>
      </c>
      <c r="E286">
        <v>88</v>
      </c>
      <c r="F286">
        <v>2890</v>
      </c>
      <c r="G286">
        <v>17.3</v>
      </c>
      <c r="H286">
        <v>79</v>
      </c>
      <c r="I286">
        <f>IF(L286=1,1,0)</f>
        <v>1</v>
      </c>
      <c r="J286">
        <f>IF(L286=2,1,0)</f>
        <v>0</v>
      </c>
      <c r="K286">
        <f>IF(L286=3,1,0)</f>
        <v>0</v>
      </c>
      <c r="L286">
        <f>VALUE(LEFT(M286,1))</f>
        <v>1</v>
      </c>
      <c r="M286" t="s">
        <v>423</v>
      </c>
      <c r="N286" t="s">
        <v>660</v>
      </c>
      <c r="O286" t="s">
        <v>692</v>
      </c>
    </row>
    <row r="287" spans="2:16">
      <c r="B287">
        <v>20.2</v>
      </c>
      <c r="C287">
        <v>6</v>
      </c>
      <c r="D287">
        <v>232</v>
      </c>
      <c r="E287">
        <v>90</v>
      </c>
      <c r="F287">
        <v>3265</v>
      </c>
      <c r="G287">
        <v>18.2</v>
      </c>
      <c r="H287">
        <v>79</v>
      </c>
      <c r="I287">
        <f>IF(L287=1,1,0)</f>
        <v>1</v>
      </c>
      <c r="J287">
        <f>IF(L287=2,1,0)</f>
        <v>0</v>
      </c>
      <c r="K287">
        <f>IF(L287=3,1,0)</f>
        <v>0</v>
      </c>
      <c r="L287">
        <f>VALUE(LEFT(M287,1))</f>
        <v>1</v>
      </c>
      <c r="M287" t="s">
        <v>420</v>
      </c>
      <c r="N287" t="s">
        <v>668</v>
      </c>
      <c r="O287" t="s">
        <v>693</v>
      </c>
      <c r="P287" t="s">
        <v>691</v>
      </c>
    </row>
    <row r="288" spans="2:16">
      <c r="B288">
        <v>20.6</v>
      </c>
      <c r="C288">
        <v>6</v>
      </c>
      <c r="D288">
        <v>225</v>
      </c>
      <c r="E288">
        <v>110</v>
      </c>
      <c r="F288">
        <v>3360</v>
      </c>
      <c r="G288">
        <v>16.600000000000001</v>
      </c>
      <c r="H288">
        <v>79</v>
      </c>
      <c r="I288">
        <f>IF(L288=1,1,0)</f>
        <v>1</v>
      </c>
      <c r="J288">
        <f>IF(L288=2,1,0)</f>
        <v>0</v>
      </c>
      <c r="K288">
        <f>IF(L288=3,1,0)</f>
        <v>0</v>
      </c>
      <c r="L288">
        <f>VALUE(LEFT(M288,1))</f>
        <v>1</v>
      </c>
      <c r="M288" t="s">
        <v>434</v>
      </c>
      <c r="N288" t="s">
        <v>603</v>
      </c>
      <c r="O288" t="s">
        <v>691</v>
      </c>
    </row>
    <row r="289" spans="2:18">
      <c r="B289">
        <v>17</v>
      </c>
      <c r="C289">
        <v>8</v>
      </c>
      <c r="D289">
        <v>305</v>
      </c>
      <c r="E289">
        <v>130</v>
      </c>
      <c r="F289">
        <v>3840</v>
      </c>
      <c r="G289">
        <v>15.4</v>
      </c>
      <c r="H289">
        <v>79</v>
      </c>
      <c r="I289">
        <f>IF(L289=1,1,0)</f>
        <v>1</v>
      </c>
      <c r="J289">
        <f>IF(L289=2,1,0)</f>
        <v>0</v>
      </c>
      <c r="K289">
        <f>IF(L289=3,1,0)</f>
        <v>0</v>
      </c>
      <c r="L289">
        <f>VALUE(LEFT(M289,1))</f>
        <v>1</v>
      </c>
      <c r="M289" t="s">
        <v>412</v>
      </c>
      <c r="N289" t="s">
        <v>534</v>
      </c>
      <c r="O289" t="s">
        <v>535</v>
      </c>
    </row>
    <row r="290" spans="2:18">
      <c r="B290">
        <v>17.600000000000001</v>
      </c>
      <c r="C290">
        <v>8</v>
      </c>
      <c r="D290">
        <v>302</v>
      </c>
      <c r="E290">
        <v>129</v>
      </c>
      <c r="F290">
        <v>3725</v>
      </c>
      <c r="G290">
        <v>13.4</v>
      </c>
      <c r="H290">
        <v>79</v>
      </c>
      <c r="I290">
        <f>IF(L290=1,1,0)</f>
        <v>1</v>
      </c>
      <c r="J290">
        <f>IF(L290=2,1,0)</f>
        <v>0</v>
      </c>
      <c r="K290">
        <f>IF(L290=3,1,0)</f>
        <v>0</v>
      </c>
      <c r="L290">
        <f>VALUE(LEFT(M290,1))</f>
        <v>1</v>
      </c>
      <c r="M290" t="s">
        <v>423</v>
      </c>
      <c r="N290" t="s">
        <v>694</v>
      </c>
      <c r="O290" t="s">
        <v>639</v>
      </c>
    </row>
    <row r="291" spans="2:18">
      <c r="B291">
        <v>16.5</v>
      </c>
      <c r="C291">
        <v>8</v>
      </c>
      <c r="D291">
        <v>351</v>
      </c>
      <c r="E291">
        <v>138</v>
      </c>
      <c r="F291">
        <v>3955</v>
      </c>
      <c r="G291">
        <v>13.2</v>
      </c>
      <c r="H291">
        <v>79</v>
      </c>
      <c r="I291">
        <f>IF(L291=1,1,0)</f>
        <v>1</v>
      </c>
      <c r="J291">
        <f>IF(L291=2,1,0)</f>
        <v>0</v>
      </c>
      <c r="K291">
        <f>IF(L291=3,1,0)</f>
        <v>0</v>
      </c>
      <c r="L291">
        <f>VALUE(LEFT(M291,1))</f>
        <v>1</v>
      </c>
      <c r="M291" t="s">
        <v>490</v>
      </c>
      <c r="N291" t="s">
        <v>556</v>
      </c>
      <c r="O291" t="s">
        <v>510</v>
      </c>
    </row>
    <row r="292" spans="2:18">
      <c r="B292">
        <v>18.2</v>
      </c>
      <c r="C292">
        <v>8</v>
      </c>
      <c r="D292">
        <v>318</v>
      </c>
      <c r="E292">
        <v>135</v>
      </c>
      <c r="F292">
        <v>3830</v>
      </c>
      <c r="G292">
        <v>15.2</v>
      </c>
      <c r="H292">
        <v>79</v>
      </c>
      <c r="I292">
        <f>IF(L292=1,1,0)</f>
        <v>1</v>
      </c>
      <c r="J292">
        <f>IF(L292=2,1,0)</f>
        <v>0</v>
      </c>
      <c r="K292">
        <f>IF(L292=3,1,0)</f>
        <v>0</v>
      </c>
      <c r="L292">
        <f>VALUE(LEFT(M292,1))</f>
        <v>1</v>
      </c>
      <c r="M292" t="s">
        <v>434</v>
      </c>
      <c r="N292" t="s">
        <v>695</v>
      </c>
      <c r="O292" t="s">
        <v>696</v>
      </c>
    </row>
    <row r="293" spans="2:18">
      <c r="B293">
        <v>16.899999999999999</v>
      </c>
      <c r="C293">
        <v>8</v>
      </c>
      <c r="D293">
        <v>350</v>
      </c>
      <c r="E293">
        <v>155</v>
      </c>
      <c r="F293">
        <v>4360</v>
      </c>
      <c r="G293">
        <v>14.9</v>
      </c>
      <c r="H293">
        <v>79</v>
      </c>
      <c r="I293">
        <f>IF(L293=1,1,0)</f>
        <v>1</v>
      </c>
      <c r="J293">
        <f>IF(L293=2,1,0)</f>
        <v>0</v>
      </c>
      <c r="K293">
        <f>IF(L293=3,1,0)</f>
        <v>0</v>
      </c>
      <c r="L293">
        <f>VALUE(LEFT(M293,1))</f>
        <v>1</v>
      </c>
      <c r="M293" t="s">
        <v>415</v>
      </c>
      <c r="N293" t="s">
        <v>441</v>
      </c>
      <c r="O293" t="s">
        <v>442</v>
      </c>
      <c r="P293" t="s">
        <v>443</v>
      </c>
    </row>
    <row r="294" spans="2:18">
      <c r="B294">
        <v>15.5</v>
      </c>
      <c r="C294">
        <v>8</v>
      </c>
      <c r="D294">
        <v>351</v>
      </c>
      <c r="E294">
        <v>142</v>
      </c>
      <c r="F294">
        <v>4054</v>
      </c>
      <c r="G294">
        <v>14.3</v>
      </c>
      <c r="H294">
        <v>79</v>
      </c>
      <c r="I294">
        <f>IF(L294=1,1,0)</f>
        <v>1</v>
      </c>
      <c r="J294">
        <f>IF(L294=2,1,0)</f>
        <v>0</v>
      </c>
      <c r="K294">
        <f>IF(L294=3,1,0)</f>
        <v>0</v>
      </c>
      <c r="L294">
        <f>VALUE(LEFT(M294,1))</f>
        <v>1</v>
      </c>
      <c r="M294" t="s">
        <v>423</v>
      </c>
      <c r="N294" t="s">
        <v>483</v>
      </c>
      <c r="O294" t="s">
        <v>484</v>
      </c>
      <c r="P294" t="s">
        <v>443</v>
      </c>
    </row>
    <row r="295" spans="2:18">
      <c r="B295">
        <v>19.2</v>
      </c>
      <c r="C295">
        <v>8</v>
      </c>
      <c r="D295">
        <v>267</v>
      </c>
      <c r="E295">
        <v>125</v>
      </c>
      <c r="F295">
        <v>3605</v>
      </c>
      <c r="G295">
        <v>15</v>
      </c>
      <c r="H295">
        <v>79</v>
      </c>
      <c r="I295">
        <f>IF(L295=1,1,0)</f>
        <v>1</v>
      </c>
      <c r="J295">
        <f>IF(L295=2,1,0)</f>
        <v>0</v>
      </c>
      <c r="K295">
        <f>IF(L295=3,1,0)</f>
        <v>0</v>
      </c>
      <c r="L295">
        <f>VALUE(LEFT(M295,1))</f>
        <v>1</v>
      </c>
      <c r="M295" t="s">
        <v>412</v>
      </c>
      <c r="N295" t="s">
        <v>567</v>
      </c>
      <c r="O295" t="s">
        <v>697</v>
      </c>
      <c r="P295" t="s">
        <v>443</v>
      </c>
    </row>
    <row r="296" spans="2:18">
      <c r="B296">
        <v>18.5</v>
      </c>
      <c r="C296">
        <v>8</v>
      </c>
      <c r="D296">
        <v>360</v>
      </c>
      <c r="E296">
        <v>150</v>
      </c>
      <c r="F296">
        <v>3940</v>
      </c>
      <c r="G296">
        <v>13</v>
      </c>
      <c r="H296">
        <v>79</v>
      </c>
      <c r="I296">
        <f>IF(L296=1,1,0)</f>
        <v>1</v>
      </c>
      <c r="J296">
        <f>IF(L296=2,1,0)</f>
        <v>0</v>
      </c>
      <c r="K296">
        <f>IF(L296=3,1,0)</f>
        <v>0</v>
      </c>
      <c r="L296">
        <f>VALUE(LEFT(M296,1))</f>
        <v>1</v>
      </c>
      <c r="M296" t="s">
        <v>515</v>
      </c>
      <c r="N296" t="s">
        <v>698</v>
      </c>
      <c r="O296" t="s">
        <v>699</v>
      </c>
      <c r="P296" t="s">
        <v>700</v>
      </c>
      <c r="Q296" t="s">
        <v>483</v>
      </c>
      <c r="R296" t="s">
        <v>443</v>
      </c>
    </row>
    <row r="297" spans="2:18">
      <c r="B297">
        <v>31.9</v>
      </c>
      <c r="C297">
        <v>4</v>
      </c>
      <c r="D297">
        <v>89</v>
      </c>
      <c r="E297">
        <v>71</v>
      </c>
      <c r="F297">
        <v>1925</v>
      </c>
      <c r="G297">
        <v>14</v>
      </c>
      <c r="H297">
        <v>79</v>
      </c>
      <c r="I297">
        <f>IF(L297=1,1,0)</f>
        <v>0</v>
      </c>
      <c r="J297">
        <f>IF(L297=2,1,0)</f>
        <v>1</v>
      </c>
      <c r="K297">
        <f>IF(L297=3,1,0)</f>
        <v>0</v>
      </c>
      <c r="L297">
        <f>VALUE(LEFT(M297,1))</f>
        <v>2</v>
      </c>
      <c r="M297" t="s">
        <v>602</v>
      </c>
      <c r="N297" t="s">
        <v>642</v>
      </c>
      <c r="O297" t="s">
        <v>477</v>
      </c>
    </row>
    <row r="298" spans="2:18">
      <c r="B298">
        <v>34.1</v>
      </c>
      <c r="C298">
        <v>4</v>
      </c>
      <c r="D298">
        <v>86</v>
      </c>
      <c r="E298">
        <v>65</v>
      </c>
      <c r="F298">
        <v>1975</v>
      </c>
      <c r="G298">
        <v>15.2</v>
      </c>
      <c r="H298">
        <v>79</v>
      </c>
      <c r="I298">
        <f>IF(L298=1,1,0)</f>
        <v>0</v>
      </c>
      <c r="J298">
        <f>IF(L298=2,1,0)</f>
        <v>0</v>
      </c>
      <c r="K298">
        <f>IF(L298=3,1,0)</f>
        <v>1</v>
      </c>
      <c r="L298">
        <f>VALUE(LEFT(M298,1))</f>
        <v>3</v>
      </c>
      <c r="M298" t="s">
        <v>550</v>
      </c>
      <c r="N298" t="s">
        <v>653</v>
      </c>
      <c r="O298" t="s">
        <v>625</v>
      </c>
    </row>
    <row r="299" spans="2:18">
      <c r="B299">
        <v>35.700000000000003</v>
      </c>
      <c r="C299">
        <v>4</v>
      </c>
      <c r="D299">
        <v>98</v>
      </c>
      <c r="E299">
        <v>80</v>
      </c>
      <c r="F299">
        <v>1915</v>
      </c>
      <c r="G299">
        <v>14.4</v>
      </c>
      <c r="H299">
        <v>79</v>
      </c>
      <c r="I299">
        <f>IF(L299=1,1,0)</f>
        <v>1</v>
      </c>
      <c r="J299">
        <f>IF(L299=2,1,0)</f>
        <v>0</v>
      </c>
      <c r="K299">
        <f>IF(L299=3,1,0)</f>
        <v>0</v>
      </c>
      <c r="L299">
        <f>VALUE(LEFT(M299,1))</f>
        <v>1</v>
      </c>
      <c r="M299" t="s">
        <v>434</v>
      </c>
      <c r="N299" t="s">
        <v>504</v>
      </c>
      <c r="O299" t="s">
        <v>701</v>
      </c>
      <c r="P299" t="s">
        <v>477</v>
      </c>
    </row>
    <row r="300" spans="2:18">
      <c r="B300">
        <v>27.4</v>
      </c>
      <c r="C300">
        <v>4</v>
      </c>
      <c r="D300">
        <v>121</v>
      </c>
      <c r="E300">
        <v>80</v>
      </c>
      <c r="F300">
        <v>2670</v>
      </c>
      <c r="G300">
        <v>15</v>
      </c>
      <c r="H300">
        <v>79</v>
      </c>
      <c r="I300">
        <f>IF(L300=1,1,0)</f>
        <v>1</v>
      </c>
      <c r="J300">
        <f>IF(L300=2,1,0)</f>
        <v>0</v>
      </c>
      <c r="K300">
        <f>IF(L300=3,1,0)</f>
        <v>0</v>
      </c>
      <c r="L300">
        <f>VALUE(LEFT(M300,1))</f>
        <v>1</v>
      </c>
      <c r="M300" t="s">
        <v>420</v>
      </c>
      <c r="N300" t="s">
        <v>702</v>
      </c>
      <c r="O300" t="s">
        <v>647</v>
      </c>
    </row>
    <row r="301" spans="2:18">
      <c r="B301">
        <v>25.4</v>
      </c>
      <c r="C301">
        <v>5</v>
      </c>
      <c r="D301">
        <v>183</v>
      </c>
      <c r="E301">
        <v>77</v>
      </c>
      <c r="F301">
        <v>3530</v>
      </c>
      <c r="G301">
        <v>20.100000000000001</v>
      </c>
      <c r="H301">
        <v>79</v>
      </c>
      <c r="I301">
        <f>IF(L301=1,1,0)</f>
        <v>0</v>
      </c>
      <c r="J301">
        <f>IF(L301=2,1,0)</f>
        <v>1</v>
      </c>
      <c r="K301">
        <f>IF(L301=3,1,0)</f>
        <v>0</v>
      </c>
      <c r="L301">
        <f>VALUE(LEFT(M301,1))</f>
        <v>2</v>
      </c>
      <c r="M301" t="s">
        <v>703</v>
      </c>
      <c r="N301" t="s">
        <v>704</v>
      </c>
      <c r="O301" t="s">
        <v>705</v>
      </c>
    </row>
    <row r="302" spans="2:18">
      <c r="B302">
        <v>23</v>
      </c>
      <c r="C302">
        <v>8</v>
      </c>
      <c r="D302">
        <v>350</v>
      </c>
      <c r="E302">
        <v>125</v>
      </c>
      <c r="F302">
        <v>3900</v>
      </c>
      <c r="G302">
        <v>17.399999999999999</v>
      </c>
      <c r="H302">
        <v>79</v>
      </c>
      <c r="I302">
        <f>IF(L302=1,1,0)</f>
        <v>1</v>
      </c>
      <c r="J302">
        <f>IF(L302=2,1,0)</f>
        <v>0</v>
      </c>
      <c r="K302">
        <f>IF(L302=3,1,0)</f>
        <v>0</v>
      </c>
      <c r="L302">
        <f>VALUE(LEFT(M302,1))</f>
        <v>1</v>
      </c>
      <c r="M302" t="s">
        <v>617</v>
      </c>
      <c r="N302" t="s">
        <v>706</v>
      </c>
    </row>
    <row r="303" spans="2:18">
      <c r="B303">
        <v>27.2</v>
      </c>
      <c r="C303">
        <v>4</v>
      </c>
      <c r="D303">
        <v>141</v>
      </c>
      <c r="E303">
        <v>71</v>
      </c>
      <c r="F303">
        <v>3190</v>
      </c>
      <c r="G303">
        <v>24.8</v>
      </c>
      <c r="H303">
        <v>79</v>
      </c>
      <c r="I303">
        <f>IF(L303=1,1,0)</f>
        <v>0</v>
      </c>
      <c r="J303">
        <f>IF(L303=2,1,0)</f>
        <v>1</v>
      </c>
      <c r="K303">
        <f>IF(L303=3,1,0)</f>
        <v>0</v>
      </c>
      <c r="L303">
        <f>VALUE(LEFT(M303,1))</f>
        <v>2</v>
      </c>
      <c r="M303" t="s">
        <v>456</v>
      </c>
      <c r="N303" t="s">
        <v>457</v>
      </c>
    </row>
    <row r="304" spans="2:18">
      <c r="B304">
        <v>23.9</v>
      </c>
      <c r="C304">
        <v>8</v>
      </c>
      <c r="D304">
        <v>260</v>
      </c>
      <c r="E304">
        <v>90</v>
      </c>
      <c r="F304">
        <v>3420</v>
      </c>
      <c r="G304">
        <v>22.2</v>
      </c>
      <c r="H304">
        <v>79</v>
      </c>
      <c r="I304">
        <f>IF(L304=1,1,0)</f>
        <v>1</v>
      </c>
      <c r="J304">
        <f>IF(L304=2,1,0)</f>
        <v>0</v>
      </c>
      <c r="K304">
        <f>IF(L304=3,1,0)</f>
        <v>0</v>
      </c>
      <c r="L304">
        <f>VALUE(LEFT(M304,1))</f>
        <v>1</v>
      </c>
      <c r="M304" t="s">
        <v>512</v>
      </c>
      <c r="N304" t="s">
        <v>631</v>
      </c>
      <c r="O304" t="s">
        <v>656</v>
      </c>
      <c r="P304" t="s">
        <v>481</v>
      </c>
    </row>
    <row r="305" spans="2:15">
      <c r="B305">
        <v>34.200000000000003</v>
      </c>
      <c r="C305">
        <v>4</v>
      </c>
      <c r="D305">
        <v>105</v>
      </c>
      <c r="E305">
        <v>70</v>
      </c>
      <c r="F305">
        <v>2200</v>
      </c>
      <c r="G305">
        <v>13.2</v>
      </c>
      <c r="H305">
        <v>79</v>
      </c>
      <c r="I305">
        <f>IF(L305=1,1,0)</f>
        <v>1</v>
      </c>
      <c r="J305">
        <f>IF(L305=2,1,0)</f>
        <v>0</v>
      </c>
      <c r="K305">
        <f>IF(L305=3,1,0)</f>
        <v>0</v>
      </c>
      <c r="L305">
        <f>VALUE(LEFT(M305,1))</f>
        <v>1</v>
      </c>
      <c r="M305" t="s">
        <v>418</v>
      </c>
      <c r="N305" t="s">
        <v>707</v>
      </c>
    </row>
    <row r="306" spans="2:15">
      <c r="B306">
        <v>34.5</v>
      </c>
      <c r="C306">
        <v>4</v>
      </c>
      <c r="D306">
        <v>105</v>
      </c>
      <c r="E306">
        <v>70</v>
      </c>
      <c r="F306">
        <v>2150</v>
      </c>
      <c r="G306">
        <v>14.9</v>
      </c>
      <c r="H306">
        <v>79</v>
      </c>
      <c r="I306">
        <f>IF(L306=1,1,0)</f>
        <v>1</v>
      </c>
      <c r="J306">
        <f>IF(L306=2,1,0)</f>
        <v>0</v>
      </c>
      <c r="K306">
        <f>IF(L306=3,1,0)</f>
        <v>0</v>
      </c>
      <c r="L306">
        <f>VALUE(LEFT(M306,1))</f>
        <v>1</v>
      </c>
      <c r="M306" t="s">
        <v>418</v>
      </c>
      <c r="N306" t="s">
        <v>708</v>
      </c>
      <c r="O306" t="s">
        <v>709</v>
      </c>
    </row>
    <row r="307" spans="2:15">
      <c r="B307">
        <v>31.8</v>
      </c>
      <c r="C307">
        <v>4</v>
      </c>
      <c r="D307">
        <v>85</v>
      </c>
      <c r="E307">
        <v>65</v>
      </c>
      <c r="F307">
        <v>2020</v>
      </c>
      <c r="G307">
        <v>19.2</v>
      </c>
      <c r="H307">
        <v>79</v>
      </c>
      <c r="I307">
        <f>IF(L307=1,1,0)</f>
        <v>0</v>
      </c>
      <c r="J307">
        <f>IF(L307=2,1,0)</f>
        <v>0</v>
      </c>
      <c r="K307">
        <f>IF(L307=3,1,0)</f>
        <v>1</v>
      </c>
      <c r="L307">
        <f>VALUE(LEFT(M307,1))</f>
        <v>3</v>
      </c>
      <c r="M307" t="s">
        <v>451</v>
      </c>
      <c r="N307" t="s">
        <v>710</v>
      </c>
    </row>
    <row r="308" spans="2:15">
      <c r="B308">
        <v>37.299999999999997</v>
      </c>
      <c r="C308">
        <v>4</v>
      </c>
      <c r="D308">
        <v>91</v>
      </c>
      <c r="E308">
        <v>69</v>
      </c>
      <c r="F308">
        <v>2130</v>
      </c>
      <c r="G308">
        <v>14.7</v>
      </c>
      <c r="H308">
        <v>79</v>
      </c>
      <c r="I308">
        <f>IF(L308=1,1,0)</f>
        <v>0</v>
      </c>
      <c r="J308">
        <f>IF(L308=2,1,0)</f>
        <v>1</v>
      </c>
      <c r="K308">
        <f>IF(L308=3,1,0)</f>
        <v>0</v>
      </c>
      <c r="L308">
        <f>VALUE(LEFT(M308,1))</f>
        <v>2</v>
      </c>
      <c r="M308" t="s">
        <v>496</v>
      </c>
      <c r="N308" t="s">
        <v>711</v>
      </c>
      <c r="O308" t="s">
        <v>477</v>
      </c>
    </row>
    <row r="309" spans="2:15">
      <c r="B309">
        <v>28.4</v>
      </c>
      <c r="C309">
        <v>4</v>
      </c>
      <c r="D309">
        <v>151</v>
      </c>
      <c r="E309">
        <v>90</v>
      </c>
      <c r="F309">
        <v>2670</v>
      </c>
      <c r="G309">
        <v>16</v>
      </c>
      <c r="H309">
        <v>79</v>
      </c>
      <c r="I309">
        <f>IF(L309=1,1,0)</f>
        <v>1</v>
      </c>
      <c r="J309">
        <f>IF(L309=2,1,0)</f>
        <v>0</v>
      </c>
      <c r="K309">
        <f>IF(L309=3,1,0)</f>
        <v>0</v>
      </c>
      <c r="L309">
        <f>VALUE(LEFT(M309,1))</f>
        <v>1</v>
      </c>
      <c r="M309" t="s">
        <v>415</v>
      </c>
      <c r="N309" t="s">
        <v>416</v>
      </c>
      <c r="O309" t="s">
        <v>712</v>
      </c>
    </row>
    <row r="310" spans="2:15">
      <c r="B310">
        <v>28.8</v>
      </c>
      <c r="C310">
        <v>6</v>
      </c>
      <c r="D310">
        <v>173</v>
      </c>
      <c r="E310">
        <v>115</v>
      </c>
      <c r="F310">
        <v>2595</v>
      </c>
      <c r="G310">
        <v>11.3</v>
      </c>
      <c r="H310">
        <v>79</v>
      </c>
      <c r="I310">
        <f>IF(L310=1,1,0)</f>
        <v>1</v>
      </c>
      <c r="J310">
        <f>IF(L310=2,1,0)</f>
        <v>0</v>
      </c>
      <c r="K310">
        <f>IF(L310=3,1,0)</f>
        <v>0</v>
      </c>
      <c r="L310">
        <f>VALUE(LEFT(M310,1))</f>
        <v>1</v>
      </c>
      <c r="M310" t="s">
        <v>412</v>
      </c>
      <c r="N310" t="s">
        <v>713</v>
      </c>
    </row>
    <row r="311" spans="2:15">
      <c r="B311">
        <v>26.8</v>
      </c>
      <c r="C311">
        <v>6</v>
      </c>
      <c r="D311">
        <v>173</v>
      </c>
      <c r="E311">
        <v>115</v>
      </c>
      <c r="F311">
        <v>2700</v>
      </c>
      <c r="G311">
        <v>12.9</v>
      </c>
      <c r="H311">
        <v>79</v>
      </c>
      <c r="I311">
        <f>IF(L311=1,1,0)</f>
        <v>1</v>
      </c>
      <c r="J311">
        <f>IF(L311=2,1,0)</f>
        <v>0</v>
      </c>
      <c r="K311">
        <f>IF(L311=3,1,0)</f>
        <v>0</v>
      </c>
      <c r="L311">
        <f>VALUE(LEFT(M311,1))</f>
        <v>1</v>
      </c>
      <c r="M311" t="s">
        <v>512</v>
      </c>
      <c r="N311" t="s">
        <v>714</v>
      </c>
      <c r="O311" t="s">
        <v>481</v>
      </c>
    </row>
    <row r="312" spans="2:15">
      <c r="B312">
        <v>33.5</v>
      </c>
      <c r="C312">
        <v>4</v>
      </c>
      <c r="D312">
        <v>151</v>
      </c>
      <c r="E312">
        <v>90</v>
      </c>
      <c r="F312">
        <v>2556</v>
      </c>
      <c r="G312">
        <v>13.2</v>
      </c>
      <c r="H312">
        <v>79</v>
      </c>
      <c r="I312">
        <f>IF(L312=1,1,0)</f>
        <v>1</v>
      </c>
      <c r="J312">
        <f>IF(L312=2,1,0)</f>
        <v>0</v>
      </c>
      <c r="K312">
        <f>IF(L312=3,1,0)</f>
        <v>0</v>
      </c>
      <c r="L312">
        <f>VALUE(LEFT(M312,1))</f>
        <v>1</v>
      </c>
      <c r="M312" t="s">
        <v>430</v>
      </c>
      <c r="N312" t="s">
        <v>715</v>
      </c>
    </row>
    <row r="313" spans="2:15">
      <c r="B313">
        <v>41.5</v>
      </c>
      <c r="C313">
        <v>4</v>
      </c>
      <c r="D313">
        <v>98</v>
      </c>
      <c r="E313">
        <v>76</v>
      </c>
      <c r="F313">
        <v>2144</v>
      </c>
      <c r="G313">
        <v>14.7</v>
      </c>
      <c r="H313">
        <v>80</v>
      </c>
      <c r="I313">
        <f>IF(L313=1,1,0)</f>
        <v>0</v>
      </c>
      <c r="J313">
        <f>IF(L313=2,1,0)</f>
        <v>1</v>
      </c>
      <c r="K313">
        <f>IF(L313=3,1,0)</f>
        <v>0</v>
      </c>
      <c r="L313">
        <f>VALUE(LEFT(M313,1))</f>
        <v>2</v>
      </c>
      <c r="M313" t="s">
        <v>602</v>
      </c>
      <c r="N313" t="s">
        <v>592</v>
      </c>
    </row>
    <row r="314" spans="2:15">
      <c r="B314">
        <v>38.1</v>
      </c>
      <c r="C314">
        <v>4</v>
      </c>
      <c r="D314">
        <v>89</v>
      </c>
      <c r="E314">
        <v>60</v>
      </c>
      <c r="F314">
        <v>1968</v>
      </c>
      <c r="G314">
        <v>18.8</v>
      </c>
      <c r="H314">
        <v>80</v>
      </c>
      <c r="I314">
        <f>IF(L314=1,1,0)</f>
        <v>0</v>
      </c>
      <c r="J314">
        <f>IF(L314=2,1,0)</f>
        <v>0</v>
      </c>
      <c r="K314">
        <f>IF(L314=3,1,0)</f>
        <v>1</v>
      </c>
      <c r="L314">
        <f>VALUE(LEFT(M314,1))</f>
        <v>3</v>
      </c>
      <c r="M314" t="s">
        <v>444</v>
      </c>
      <c r="N314" t="s">
        <v>498</v>
      </c>
      <c r="O314" t="s">
        <v>716</v>
      </c>
    </row>
    <row r="315" spans="2:15">
      <c r="B315">
        <v>32.1</v>
      </c>
      <c r="C315">
        <v>4</v>
      </c>
      <c r="D315">
        <v>98</v>
      </c>
      <c r="E315">
        <v>70</v>
      </c>
      <c r="F315">
        <v>2120</v>
      </c>
      <c r="G315">
        <v>15.5</v>
      </c>
      <c r="H315">
        <v>80</v>
      </c>
      <c r="I315">
        <f>IF(L315=1,1,0)</f>
        <v>1</v>
      </c>
      <c r="J315">
        <f>IF(L315=2,1,0)</f>
        <v>0</v>
      </c>
      <c r="K315">
        <f>IF(L315=3,1,0)</f>
        <v>0</v>
      </c>
      <c r="L315">
        <f>VALUE(LEFT(M315,1))</f>
        <v>1</v>
      </c>
      <c r="M315" t="s">
        <v>412</v>
      </c>
      <c r="N315" t="s">
        <v>600</v>
      </c>
    </row>
    <row r="316" spans="2:15">
      <c r="B316">
        <v>37.200000000000003</v>
      </c>
      <c r="C316">
        <v>4</v>
      </c>
      <c r="D316">
        <v>86</v>
      </c>
      <c r="E316">
        <v>65</v>
      </c>
      <c r="F316">
        <v>2019</v>
      </c>
      <c r="G316">
        <v>16.399999999999999</v>
      </c>
      <c r="H316">
        <v>80</v>
      </c>
      <c r="I316">
        <f>IF(L316=1,1,0)</f>
        <v>0</v>
      </c>
      <c r="J316">
        <f>IF(L316=2,1,0)</f>
        <v>0</v>
      </c>
      <c r="K316">
        <f>IF(L316=3,1,0)</f>
        <v>1</v>
      </c>
      <c r="L316">
        <f>VALUE(LEFT(M316,1))</f>
        <v>3</v>
      </c>
      <c r="M316" t="s">
        <v>451</v>
      </c>
      <c r="N316" t="s">
        <v>717</v>
      </c>
    </row>
    <row r="317" spans="2:15">
      <c r="B317">
        <v>28</v>
      </c>
      <c r="C317">
        <v>4</v>
      </c>
      <c r="D317">
        <v>151</v>
      </c>
      <c r="E317">
        <v>90</v>
      </c>
      <c r="F317">
        <v>2678</v>
      </c>
      <c r="G317">
        <v>16.5</v>
      </c>
      <c r="H317">
        <v>80</v>
      </c>
      <c r="I317">
        <f>IF(L317=1,1,0)</f>
        <v>1</v>
      </c>
      <c r="J317">
        <f>IF(L317=2,1,0)</f>
        <v>0</v>
      </c>
      <c r="K317">
        <f>IF(L317=3,1,0)</f>
        <v>0</v>
      </c>
      <c r="L317">
        <f>VALUE(LEFT(M317,1))</f>
        <v>1</v>
      </c>
      <c r="M317" t="s">
        <v>412</v>
      </c>
      <c r="N317" t="s">
        <v>713</v>
      </c>
    </row>
    <row r="318" spans="2:15">
      <c r="B318">
        <v>26.4</v>
      </c>
      <c r="C318">
        <v>4</v>
      </c>
      <c r="D318">
        <v>140</v>
      </c>
      <c r="E318">
        <v>88</v>
      </c>
      <c r="F318">
        <v>2870</v>
      </c>
      <c r="G318">
        <v>18.100000000000001</v>
      </c>
      <c r="H318">
        <v>80</v>
      </c>
      <c r="I318">
        <f>IF(L318=1,1,0)</f>
        <v>1</v>
      </c>
      <c r="J318">
        <f>IF(L318=2,1,0)</f>
        <v>0</v>
      </c>
      <c r="K318">
        <f>IF(L318=3,1,0)</f>
        <v>0</v>
      </c>
      <c r="L318">
        <f>VALUE(LEFT(M318,1))</f>
        <v>1</v>
      </c>
      <c r="M318" t="s">
        <v>423</v>
      </c>
      <c r="N318" t="s">
        <v>718</v>
      </c>
    </row>
    <row r="319" spans="2:15">
      <c r="B319">
        <v>24.3</v>
      </c>
      <c r="C319">
        <v>4</v>
      </c>
      <c r="D319">
        <v>151</v>
      </c>
      <c r="E319">
        <v>90</v>
      </c>
      <c r="F319">
        <v>3003</v>
      </c>
      <c r="G319">
        <v>20.100000000000001</v>
      </c>
      <c r="H319">
        <v>80</v>
      </c>
      <c r="I319">
        <f>IF(L319=1,1,0)</f>
        <v>1</v>
      </c>
      <c r="J319">
        <f>IF(L319=2,1,0)</f>
        <v>0</v>
      </c>
      <c r="K319">
        <f>IF(L319=3,1,0)</f>
        <v>0</v>
      </c>
      <c r="L319">
        <f>VALUE(LEFT(M319,1))</f>
        <v>1</v>
      </c>
      <c r="M319" t="s">
        <v>420</v>
      </c>
      <c r="N319" t="s">
        <v>664</v>
      </c>
    </row>
    <row r="320" spans="2:15">
      <c r="B320">
        <v>19.100000000000001</v>
      </c>
      <c r="C320">
        <v>6</v>
      </c>
      <c r="D320">
        <v>225</v>
      </c>
      <c r="E320">
        <v>90</v>
      </c>
      <c r="F320">
        <v>3381</v>
      </c>
      <c r="G320">
        <v>18.7</v>
      </c>
      <c r="H320">
        <v>80</v>
      </c>
      <c r="I320">
        <f>IF(L320=1,1,0)</f>
        <v>1</v>
      </c>
      <c r="J320">
        <f>IF(L320=2,1,0)</f>
        <v>0</v>
      </c>
      <c r="K320">
        <f>IF(L320=3,1,0)</f>
        <v>0</v>
      </c>
      <c r="L320">
        <f>VALUE(LEFT(M320,1))</f>
        <v>1</v>
      </c>
      <c r="M320" t="s">
        <v>434</v>
      </c>
      <c r="N320" t="s">
        <v>667</v>
      </c>
    </row>
    <row r="321" spans="2:16">
      <c r="B321">
        <v>34.299999999999997</v>
      </c>
      <c r="C321">
        <v>4</v>
      </c>
      <c r="D321">
        <v>97</v>
      </c>
      <c r="E321">
        <v>78</v>
      </c>
      <c r="F321">
        <v>2188</v>
      </c>
      <c r="G321">
        <v>15.8</v>
      </c>
      <c r="H321">
        <v>80</v>
      </c>
      <c r="I321">
        <f>IF(L321=1,1,0)</f>
        <v>0</v>
      </c>
      <c r="J321">
        <f>IF(L321=2,1,0)</f>
        <v>1</v>
      </c>
      <c r="K321">
        <f>IF(L321=3,1,0)</f>
        <v>0</v>
      </c>
      <c r="L321">
        <f>VALUE(LEFT(M321,1))</f>
        <v>2</v>
      </c>
      <c r="M321" t="s">
        <v>458</v>
      </c>
      <c r="N321" t="s">
        <v>719</v>
      </c>
    </row>
    <row r="322" spans="2:16">
      <c r="B322">
        <v>29.8</v>
      </c>
      <c r="C322">
        <v>4</v>
      </c>
      <c r="D322">
        <v>134</v>
      </c>
      <c r="E322">
        <v>90</v>
      </c>
      <c r="F322">
        <v>2711</v>
      </c>
      <c r="G322">
        <v>15.5</v>
      </c>
      <c r="H322">
        <v>80</v>
      </c>
      <c r="I322">
        <f>IF(L322=1,1,0)</f>
        <v>0</v>
      </c>
      <c r="J322">
        <f>IF(L322=2,1,0)</f>
        <v>0</v>
      </c>
      <c r="K322">
        <f>IF(L322=3,1,0)</f>
        <v>1</v>
      </c>
      <c r="L322">
        <f>VALUE(LEFT(M322,1))</f>
        <v>3</v>
      </c>
      <c r="M322" t="s">
        <v>444</v>
      </c>
      <c r="N322" t="s">
        <v>445</v>
      </c>
      <c r="O322" t="s">
        <v>644</v>
      </c>
    </row>
    <row r="323" spans="2:16">
      <c r="B323">
        <v>31.3</v>
      </c>
      <c r="C323">
        <v>4</v>
      </c>
      <c r="D323">
        <v>120</v>
      </c>
      <c r="E323">
        <v>75</v>
      </c>
      <c r="F323">
        <v>2542</v>
      </c>
      <c r="G323">
        <v>17.5</v>
      </c>
      <c r="H323">
        <v>80</v>
      </c>
      <c r="I323">
        <f>IF(L323=1,1,0)</f>
        <v>0</v>
      </c>
      <c r="J323">
        <f>IF(L323=2,1,0)</f>
        <v>0</v>
      </c>
      <c r="K323">
        <f>IF(L323=3,1,0)</f>
        <v>1</v>
      </c>
      <c r="L323">
        <f>VALUE(LEFT(M323,1))</f>
        <v>3</v>
      </c>
      <c r="M323" t="s">
        <v>518</v>
      </c>
      <c r="N323" t="s">
        <v>720</v>
      </c>
    </row>
    <row r="324" spans="2:16">
      <c r="B324">
        <v>37</v>
      </c>
      <c r="C324">
        <v>4</v>
      </c>
      <c r="D324">
        <v>119</v>
      </c>
      <c r="E324">
        <v>92</v>
      </c>
      <c r="F324">
        <v>2434</v>
      </c>
      <c r="G324">
        <v>15</v>
      </c>
      <c r="H324">
        <v>80</v>
      </c>
      <c r="I324">
        <f>IF(L324=1,1,0)</f>
        <v>0</v>
      </c>
      <c r="J324">
        <f>IF(L324=2,1,0)</f>
        <v>0</v>
      </c>
      <c r="K324">
        <f>IF(L324=3,1,0)</f>
        <v>1</v>
      </c>
      <c r="L324">
        <f>VALUE(LEFT(M324,1))</f>
        <v>3</v>
      </c>
      <c r="M324" t="s">
        <v>451</v>
      </c>
      <c r="N324">
        <v>510</v>
      </c>
      <c r="O324" t="s">
        <v>630</v>
      </c>
    </row>
    <row r="325" spans="2:16">
      <c r="B325">
        <v>32.200000000000003</v>
      </c>
      <c r="C325">
        <v>4</v>
      </c>
      <c r="D325">
        <v>108</v>
      </c>
      <c r="E325">
        <v>75</v>
      </c>
      <c r="F325">
        <v>2265</v>
      </c>
      <c r="G325">
        <v>15.2</v>
      </c>
      <c r="H325">
        <v>80</v>
      </c>
      <c r="I325">
        <f>IF(L325=1,1,0)</f>
        <v>0</v>
      </c>
      <c r="J325">
        <f>IF(L325=2,1,0)</f>
        <v>0</v>
      </c>
      <c r="K325">
        <f>IF(L325=3,1,0)</f>
        <v>1</v>
      </c>
      <c r="L325">
        <f>VALUE(LEFT(M325,1))</f>
        <v>3</v>
      </c>
      <c r="M325" t="s">
        <v>444</v>
      </c>
      <c r="N325" t="s">
        <v>590</v>
      </c>
    </row>
    <row r="326" spans="2:16">
      <c r="B326">
        <v>46.6</v>
      </c>
      <c r="C326">
        <v>4</v>
      </c>
      <c r="D326">
        <v>86</v>
      </c>
      <c r="E326">
        <v>65</v>
      </c>
      <c r="F326">
        <v>2110</v>
      </c>
      <c r="G326">
        <v>17.899999999999999</v>
      </c>
      <c r="H326">
        <v>80</v>
      </c>
      <c r="I326">
        <f>IF(L326=1,1,0)</f>
        <v>0</v>
      </c>
      <c r="J326">
        <f>IF(L326=2,1,0)</f>
        <v>0</v>
      </c>
      <c r="K326">
        <f>IF(L326=3,1,0)</f>
        <v>1</v>
      </c>
      <c r="L326">
        <f>VALUE(LEFT(M326,1))</f>
        <v>3</v>
      </c>
      <c r="M326" t="s">
        <v>518</v>
      </c>
      <c r="N326" t="s">
        <v>721</v>
      </c>
    </row>
    <row r="327" spans="2:16">
      <c r="B327">
        <v>27.9</v>
      </c>
      <c r="C327">
        <v>4</v>
      </c>
      <c r="D327">
        <v>156</v>
      </c>
      <c r="E327">
        <v>105</v>
      </c>
      <c r="F327">
        <v>2800</v>
      </c>
      <c r="G327">
        <v>14.4</v>
      </c>
      <c r="H327">
        <v>80</v>
      </c>
      <c r="I327">
        <f>IF(L327=1,1,0)</f>
        <v>1</v>
      </c>
      <c r="J327">
        <f>IF(L327=2,1,0)</f>
        <v>0</v>
      </c>
      <c r="K327">
        <f>IF(L327=3,1,0)</f>
        <v>0</v>
      </c>
      <c r="L327">
        <f>VALUE(LEFT(M327,1))</f>
        <v>1</v>
      </c>
      <c r="M327" t="s">
        <v>434</v>
      </c>
      <c r="N327" t="s">
        <v>573</v>
      </c>
    </row>
    <row r="328" spans="2:16">
      <c r="B328">
        <v>40.799999999999997</v>
      </c>
      <c r="C328">
        <v>4</v>
      </c>
      <c r="D328">
        <v>85</v>
      </c>
      <c r="E328">
        <v>65</v>
      </c>
      <c r="F328">
        <v>2110</v>
      </c>
      <c r="G328">
        <v>19.2</v>
      </c>
      <c r="H328">
        <v>80</v>
      </c>
      <c r="I328">
        <f>IF(L328=1,1,0)</f>
        <v>0</v>
      </c>
      <c r="J328">
        <f>IF(L328=2,1,0)</f>
        <v>0</v>
      </c>
      <c r="K328">
        <f>IF(L328=3,1,0)</f>
        <v>1</v>
      </c>
      <c r="L328">
        <f>VALUE(LEFT(M328,1))</f>
        <v>3</v>
      </c>
      <c r="M328" t="s">
        <v>451</v>
      </c>
      <c r="N328" t="s">
        <v>710</v>
      </c>
    </row>
    <row r="329" spans="2:16">
      <c r="B329">
        <v>44.3</v>
      </c>
      <c r="C329">
        <v>4</v>
      </c>
      <c r="D329">
        <v>90</v>
      </c>
      <c r="E329">
        <v>48</v>
      </c>
      <c r="F329">
        <v>2085</v>
      </c>
      <c r="G329">
        <v>21.7</v>
      </c>
      <c r="H329">
        <v>80</v>
      </c>
      <c r="I329">
        <f>IF(L329=1,1,0)</f>
        <v>0</v>
      </c>
      <c r="J329">
        <f>IF(L329=2,1,0)</f>
        <v>1</v>
      </c>
      <c r="K329">
        <f>IF(L329=3,1,0)</f>
        <v>0</v>
      </c>
      <c r="L329">
        <f>VALUE(LEFT(M329,1))</f>
        <v>2</v>
      </c>
      <c r="M329" t="s">
        <v>602</v>
      </c>
      <c r="N329" t="s">
        <v>642</v>
      </c>
      <c r="O329" t="s">
        <v>722</v>
      </c>
      <c r="P329" t="s">
        <v>723</v>
      </c>
    </row>
    <row r="330" spans="2:16">
      <c r="B330">
        <v>43.4</v>
      </c>
      <c r="C330">
        <v>4</v>
      </c>
      <c r="D330">
        <v>90</v>
      </c>
      <c r="E330">
        <v>48</v>
      </c>
      <c r="F330">
        <v>2335</v>
      </c>
      <c r="G330">
        <v>23.7</v>
      </c>
      <c r="H330">
        <v>80</v>
      </c>
      <c r="I330">
        <f>IF(L330=1,1,0)</f>
        <v>0</v>
      </c>
      <c r="J330">
        <f>IF(L330=2,1,0)</f>
        <v>1</v>
      </c>
      <c r="K330">
        <f>IF(L330=3,1,0)</f>
        <v>0</v>
      </c>
      <c r="L330">
        <f>VALUE(LEFT(M330,1))</f>
        <v>2</v>
      </c>
      <c r="M330" t="s">
        <v>602</v>
      </c>
      <c r="N330" t="s">
        <v>724</v>
      </c>
      <c r="O330" t="s">
        <v>723</v>
      </c>
    </row>
    <row r="331" spans="2:16">
      <c r="B331">
        <v>36.4</v>
      </c>
      <c r="C331">
        <v>5</v>
      </c>
      <c r="D331">
        <v>121</v>
      </c>
      <c r="E331">
        <v>67</v>
      </c>
      <c r="F331">
        <v>2950</v>
      </c>
      <c r="G331">
        <v>19.899999999999999</v>
      </c>
      <c r="H331">
        <v>80</v>
      </c>
      <c r="I331">
        <f>IF(L331=1,1,0)</f>
        <v>0</v>
      </c>
      <c r="J331">
        <f>IF(L331=2,1,0)</f>
        <v>1</v>
      </c>
      <c r="K331">
        <f>IF(L331=3,1,0)</f>
        <v>0</v>
      </c>
      <c r="L331">
        <f>VALUE(LEFT(M331,1))</f>
        <v>2</v>
      </c>
      <c r="M331" t="s">
        <v>458</v>
      </c>
      <c r="N331" t="s">
        <v>725</v>
      </c>
      <c r="O331" t="s">
        <v>723</v>
      </c>
    </row>
    <row r="332" spans="2:16">
      <c r="B332">
        <v>30</v>
      </c>
      <c r="C332">
        <v>4</v>
      </c>
      <c r="D332">
        <v>146</v>
      </c>
      <c r="E332">
        <v>67</v>
      </c>
      <c r="F332">
        <v>3250</v>
      </c>
      <c r="G332">
        <v>21.8</v>
      </c>
      <c r="H332">
        <v>80</v>
      </c>
      <c r="I332">
        <f>IF(L332=1,1,0)</f>
        <v>0</v>
      </c>
      <c r="J332">
        <f>IF(L332=2,1,0)</f>
        <v>1</v>
      </c>
      <c r="K332">
        <f>IF(L332=3,1,0)</f>
        <v>0</v>
      </c>
      <c r="L332">
        <f>VALUE(LEFT(M332,1))</f>
        <v>2</v>
      </c>
      <c r="M332" t="s">
        <v>615</v>
      </c>
      <c r="N332" t="s">
        <v>726</v>
      </c>
    </row>
    <row r="333" spans="2:16">
      <c r="B333">
        <v>44.6</v>
      </c>
      <c r="C333">
        <v>4</v>
      </c>
      <c r="D333">
        <v>91</v>
      </c>
      <c r="E333">
        <v>67</v>
      </c>
      <c r="F333">
        <v>1850</v>
      </c>
      <c r="G333">
        <v>13.8</v>
      </c>
      <c r="H333">
        <v>80</v>
      </c>
      <c r="I333">
        <f>IF(L333=1,1,0)</f>
        <v>0</v>
      </c>
      <c r="J333">
        <f>IF(L333=2,1,0)</f>
        <v>0</v>
      </c>
      <c r="K333">
        <f>IF(L333=3,1,0)</f>
        <v>1</v>
      </c>
      <c r="L333">
        <f>VALUE(LEFT(M333,1))</f>
        <v>3</v>
      </c>
      <c r="M333" t="s">
        <v>575</v>
      </c>
      <c r="N333" t="s">
        <v>595</v>
      </c>
      <c r="O333">
        <v>1500</v>
      </c>
      <c r="P333" t="s">
        <v>727</v>
      </c>
    </row>
    <row r="334" spans="2:16">
      <c r="B334">
        <v>40.9</v>
      </c>
      <c r="C334">
        <v>4</v>
      </c>
      <c r="D334">
        <v>85</v>
      </c>
      <c r="E334" t="s">
        <v>474</v>
      </c>
      <c r="F334">
        <v>1835</v>
      </c>
      <c r="G334">
        <v>17.3</v>
      </c>
      <c r="H334">
        <v>80</v>
      </c>
      <c r="I334">
        <f>IF(L334=1,1,0)</f>
        <v>0</v>
      </c>
      <c r="J334">
        <f>IF(L334=2,1,0)</f>
        <v>1</v>
      </c>
      <c r="K334">
        <f>IF(L334=3,1,0)</f>
        <v>0</v>
      </c>
      <c r="L334">
        <f>VALUE(LEFT(M334,1))</f>
        <v>2</v>
      </c>
      <c r="M334" t="s">
        <v>527</v>
      </c>
      <c r="N334" t="s">
        <v>728</v>
      </c>
      <c r="O334" t="s">
        <v>625</v>
      </c>
    </row>
    <row r="335" spans="2:16">
      <c r="B335">
        <v>33.799999999999997</v>
      </c>
      <c r="C335">
        <v>4</v>
      </c>
      <c r="D335">
        <v>97</v>
      </c>
      <c r="E335">
        <v>67</v>
      </c>
      <c r="F335">
        <v>2145</v>
      </c>
      <c r="G335">
        <v>18</v>
      </c>
      <c r="H335">
        <v>80</v>
      </c>
      <c r="I335">
        <f>IF(L335=1,1,0)</f>
        <v>0</v>
      </c>
      <c r="J335">
        <f>IF(L335=2,1,0)</f>
        <v>0</v>
      </c>
      <c r="K335">
        <f>IF(L335=3,1,0)</f>
        <v>1</v>
      </c>
      <c r="L335">
        <f>VALUE(LEFT(M335,1))</f>
        <v>3</v>
      </c>
      <c r="M335" t="s">
        <v>646</v>
      </c>
      <c r="N335" t="s">
        <v>647</v>
      </c>
    </row>
    <row r="336" spans="2:16">
      <c r="B336">
        <v>29.8</v>
      </c>
      <c r="C336">
        <v>4</v>
      </c>
      <c r="D336">
        <v>89</v>
      </c>
      <c r="E336">
        <v>62</v>
      </c>
      <c r="F336">
        <v>1845</v>
      </c>
      <c r="G336">
        <v>15.3</v>
      </c>
      <c r="H336">
        <v>80</v>
      </c>
      <c r="I336">
        <f>IF(L336=1,1,0)</f>
        <v>0</v>
      </c>
      <c r="J336">
        <f>IF(L336=2,1,0)</f>
        <v>1</v>
      </c>
      <c r="K336">
        <f>IF(L336=3,1,0)</f>
        <v>0</v>
      </c>
      <c r="L336">
        <f>VALUE(LEFT(M336,1))</f>
        <v>2</v>
      </c>
      <c r="M336" t="s">
        <v>729</v>
      </c>
      <c r="N336" t="s">
        <v>592</v>
      </c>
    </row>
    <row r="337" spans="2:16">
      <c r="B337">
        <v>32.700000000000003</v>
      </c>
      <c r="C337">
        <v>6</v>
      </c>
      <c r="D337">
        <v>168</v>
      </c>
      <c r="E337">
        <v>132</v>
      </c>
      <c r="F337">
        <v>2910</v>
      </c>
      <c r="G337">
        <v>11.4</v>
      </c>
      <c r="H337">
        <v>80</v>
      </c>
      <c r="I337">
        <f>IF(L337=1,1,0)</f>
        <v>0</v>
      </c>
      <c r="J337">
        <f>IF(L337=2,1,0)</f>
        <v>0</v>
      </c>
      <c r="K337">
        <f>IF(L337=3,1,0)</f>
        <v>1</v>
      </c>
      <c r="L337">
        <f>VALUE(LEFT(M337,1))</f>
        <v>3</v>
      </c>
      <c r="M337" t="s">
        <v>451</v>
      </c>
      <c r="N337" t="s">
        <v>730</v>
      </c>
    </row>
    <row r="338" spans="2:16">
      <c r="B338">
        <v>23.7</v>
      </c>
      <c r="C338">
        <v>3</v>
      </c>
      <c r="D338">
        <v>70</v>
      </c>
      <c r="E338">
        <v>100</v>
      </c>
      <c r="F338">
        <v>2420</v>
      </c>
      <c r="G338">
        <v>12.5</v>
      </c>
      <c r="H338">
        <v>80</v>
      </c>
      <c r="I338">
        <f>IF(L338=1,1,0)</f>
        <v>0</v>
      </c>
      <c r="J338">
        <f>IF(L338=2,1,0)</f>
        <v>0</v>
      </c>
      <c r="K338">
        <f>IF(L338=3,1,0)</f>
        <v>1</v>
      </c>
      <c r="L338">
        <f>VALUE(LEFT(M338,1))</f>
        <v>3</v>
      </c>
      <c r="M338" t="s">
        <v>518</v>
      </c>
      <c r="N338" t="s">
        <v>731</v>
      </c>
      <c r="O338" t="s">
        <v>628</v>
      </c>
    </row>
    <row r="339" spans="2:16">
      <c r="B339">
        <v>35</v>
      </c>
      <c r="C339">
        <v>4</v>
      </c>
      <c r="D339">
        <v>122</v>
      </c>
      <c r="E339">
        <v>88</v>
      </c>
      <c r="F339">
        <v>2500</v>
      </c>
      <c r="G339">
        <v>15.1</v>
      </c>
      <c r="H339">
        <v>80</v>
      </c>
      <c r="I339">
        <f>IF(L339=1,1,0)</f>
        <v>0</v>
      </c>
      <c r="J339">
        <f>IF(L339=2,1,0)</f>
        <v>1</v>
      </c>
      <c r="K339">
        <f>IF(L339=3,1,0)</f>
        <v>0</v>
      </c>
      <c r="L339">
        <f>VALUE(LEFT(M339,1))</f>
        <v>2</v>
      </c>
      <c r="M339" t="s">
        <v>732</v>
      </c>
      <c r="N339" t="s">
        <v>733</v>
      </c>
      <c r="O339" t="s">
        <v>520</v>
      </c>
    </row>
    <row r="340" spans="2:16">
      <c r="B340">
        <v>23.6</v>
      </c>
      <c r="C340">
        <v>4</v>
      </c>
      <c r="D340">
        <v>140</v>
      </c>
      <c r="E340" t="s">
        <v>474</v>
      </c>
      <c r="F340">
        <v>2905</v>
      </c>
      <c r="G340">
        <v>14.3</v>
      </c>
      <c r="H340">
        <v>80</v>
      </c>
      <c r="I340">
        <f>IF(L340=1,1,0)</f>
        <v>1</v>
      </c>
      <c r="J340">
        <f>IF(L340=2,1,0)</f>
        <v>0</v>
      </c>
      <c r="K340">
        <f>IF(L340=3,1,0)</f>
        <v>0</v>
      </c>
      <c r="L340">
        <f>VALUE(LEFT(M340,1))</f>
        <v>1</v>
      </c>
      <c r="M340" t="s">
        <v>423</v>
      </c>
      <c r="N340" t="s">
        <v>589</v>
      </c>
      <c r="O340" t="s">
        <v>734</v>
      </c>
    </row>
    <row r="341" spans="2:16">
      <c r="B341">
        <v>32.4</v>
      </c>
      <c r="C341">
        <v>4</v>
      </c>
      <c r="D341">
        <v>107</v>
      </c>
      <c r="E341">
        <v>72</v>
      </c>
      <c r="F341">
        <v>2290</v>
      </c>
      <c r="G341">
        <v>17</v>
      </c>
      <c r="H341">
        <v>80</v>
      </c>
      <c r="I341">
        <f>IF(L341=1,1,0)</f>
        <v>0</v>
      </c>
      <c r="J341">
        <f>IF(L341=2,1,0)</f>
        <v>0</v>
      </c>
      <c r="K341">
        <f>IF(L341=3,1,0)</f>
        <v>1</v>
      </c>
      <c r="L341">
        <f>VALUE(LEFT(M341,1))</f>
        <v>3</v>
      </c>
      <c r="M341" t="s">
        <v>575</v>
      </c>
      <c r="N341" t="s">
        <v>735</v>
      </c>
    </row>
    <row r="342" spans="2:16">
      <c r="B342">
        <v>27.2</v>
      </c>
      <c r="C342">
        <v>4</v>
      </c>
      <c r="D342">
        <v>135</v>
      </c>
      <c r="E342">
        <v>84</v>
      </c>
      <c r="F342">
        <v>2490</v>
      </c>
      <c r="G342">
        <v>15.7</v>
      </c>
      <c r="H342">
        <v>81</v>
      </c>
      <c r="I342">
        <f>IF(L342=1,1,0)</f>
        <v>1</v>
      </c>
      <c r="J342">
        <f>IF(L342=2,1,0)</f>
        <v>0</v>
      </c>
      <c r="K342">
        <f>IF(L342=3,1,0)</f>
        <v>0</v>
      </c>
      <c r="L342">
        <f>VALUE(LEFT(M342,1))</f>
        <v>1</v>
      </c>
      <c r="M342" t="s">
        <v>418</v>
      </c>
      <c r="N342" t="s">
        <v>736</v>
      </c>
    </row>
    <row r="343" spans="2:16">
      <c r="B343">
        <v>26.6</v>
      </c>
      <c r="C343">
        <v>4</v>
      </c>
      <c r="D343">
        <v>151</v>
      </c>
      <c r="E343">
        <v>84</v>
      </c>
      <c r="F343">
        <v>2635</v>
      </c>
      <c r="G343">
        <v>16.399999999999999</v>
      </c>
      <c r="H343">
        <v>81</v>
      </c>
      <c r="I343">
        <f>IF(L343=1,1,0)</f>
        <v>1</v>
      </c>
      <c r="J343">
        <f>IF(L343=2,1,0)</f>
        <v>0</v>
      </c>
      <c r="K343">
        <f>IF(L343=3,1,0)</f>
        <v>0</v>
      </c>
      <c r="L343">
        <f>VALUE(LEFT(M343,1))</f>
        <v>1</v>
      </c>
      <c r="M343" t="s">
        <v>415</v>
      </c>
      <c r="N343" t="s">
        <v>635</v>
      </c>
    </row>
    <row r="344" spans="2:16">
      <c r="B344">
        <v>25.8</v>
      </c>
      <c r="C344">
        <v>4</v>
      </c>
      <c r="D344">
        <v>156</v>
      </c>
      <c r="E344">
        <v>92</v>
      </c>
      <c r="F344">
        <v>2620</v>
      </c>
      <c r="G344">
        <v>14.4</v>
      </c>
      <c r="H344">
        <v>81</v>
      </c>
      <c r="I344">
        <f>IF(L344=1,1,0)</f>
        <v>1</v>
      </c>
      <c r="J344">
        <f>IF(L344=2,1,0)</f>
        <v>0</v>
      </c>
      <c r="K344">
        <f>IF(L344=3,1,0)</f>
        <v>0</v>
      </c>
      <c r="L344">
        <f>VALUE(LEFT(M344,1))</f>
        <v>1</v>
      </c>
      <c r="M344" t="s">
        <v>434</v>
      </c>
      <c r="N344" t="s">
        <v>737</v>
      </c>
      <c r="O344" t="s">
        <v>442</v>
      </c>
      <c r="P344" t="s">
        <v>443</v>
      </c>
    </row>
    <row r="345" spans="2:16">
      <c r="B345">
        <v>23.5</v>
      </c>
      <c r="C345">
        <v>6</v>
      </c>
      <c r="D345">
        <v>173</v>
      </c>
      <c r="E345">
        <v>110</v>
      </c>
      <c r="F345">
        <v>2725</v>
      </c>
      <c r="G345">
        <v>12.6</v>
      </c>
      <c r="H345">
        <v>81</v>
      </c>
      <c r="I345">
        <f>IF(L345=1,1,0)</f>
        <v>1</v>
      </c>
      <c r="J345">
        <f>IF(L345=2,1,0)</f>
        <v>0</v>
      </c>
      <c r="K345">
        <f>IF(L345=3,1,0)</f>
        <v>0</v>
      </c>
      <c r="L345">
        <f>VALUE(LEFT(M345,1))</f>
        <v>1</v>
      </c>
      <c r="M345" t="s">
        <v>412</v>
      </c>
      <c r="N345" t="s">
        <v>713</v>
      </c>
    </row>
    <row r="346" spans="2:16">
      <c r="B346">
        <v>30</v>
      </c>
      <c r="C346">
        <v>4</v>
      </c>
      <c r="D346">
        <v>135</v>
      </c>
      <c r="E346">
        <v>84</v>
      </c>
      <c r="F346">
        <v>2385</v>
      </c>
      <c r="G346">
        <v>12.9</v>
      </c>
      <c r="H346">
        <v>81</v>
      </c>
      <c r="I346">
        <f>IF(L346=1,1,0)</f>
        <v>1</v>
      </c>
      <c r="J346">
        <f>IF(L346=2,1,0)</f>
        <v>0</v>
      </c>
      <c r="K346">
        <f>IF(L346=3,1,0)</f>
        <v>0</v>
      </c>
      <c r="L346">
        <f>VALUE(LEFT(M346,1))</f>
        <v>1</v>
      </c>
      <c r="M346" t="s">
        <v>418</v>
      </c>
      <c r="N346" t="s">
        <v>736</v>
      </c>
    </row>
    <row r="347" spans="2:16">
      <c r="B347">
        <v>39.1</v>
      </c>
      <c r="C347">
        <v>4</v>
      </c>
      <c r="D347">
        <v>79</v>
      </c>
      <c r="E347">
        <v>58</v>
      </c>
      <c r="F347">
        <v>1755</v>
      </c>
      <c r="G347">
        <v>16.899999999999999</v>
      </c>
      <c r="H347">
        <v>81</v>
      </c>
      <c r="I347">
        <f>IF(L347=1,1,0)</f>
        <v>0</v>
      </c>
      <c r="J347">
        <f>IF(L347=2,1,0)</f>
        <v>0</v>
      </c>
      <c r="K347">
        <f>IF(L347=3,1,0)</f>
        <v>1</v>
      </c>
      <c r="L347">
        <f>VALUE(LEFT(M347,1))</f>
        <v>3</v>
      </c>
      <c r="M347" t="s">
        <v>444</v>
      </c>
      <c r="N347" t="s">
        <v>738</v>
      </c>
    </row>
    <row r="348" spans="2:16">
      <c r="B348">
        <v>39</v>
      </c>
      <c r="C348">
        <v>4</v>
      </c>
      <c r="D348">
        <v>86</v>
      </c>
      <c r="E348">
        <v>64</v>
      </c>
      <c r="F348">
        <v>1875</v>
      </c>
      <c r="G348">
        <v>16.399999999999999</v>
      </c>
      <c r="H348">
        <v>81</v>
      </c>
      <c r="I348">
        <f>IF(L348=1,1,0)</f>
        <v>1</v>
      </c>
      <c r="J348">
        <f>IF(L348=2,1,0)</f>
        <v>0</v>
      </c>
      <c r="K348">
        <f>IF(L348=3,1,0)</f>
        <v>0</v>
      </c>
      <c r="L348">
        <f>VALUE(LEFT(M348,1))</f>
        <v>1</v>
      </c>
      <c r="M348" t="s">
        <v>418</v>
      </c>
      <c r="N348" t="s">
        <v>739</v>
      </c>
    </row>
    <row r="349" spans="2:16">
      <c r="B349">
        <v>35.1</v>
      </c>
      <c r="C349">
        <v>4</v>
      </c>
      <c r="D349">
        <v>81</v>
      </c>
      <c r="E349">
        <v>60</v>
      </c>
      <c r="F349">
        <v>1760</v>
      </c>
      <c r="G349">
        <v>16.100000000000001</v>
      </c>
      <c r="H349">
        <v>81</v>
      </c>
      <c r="I349">
        <f>IF(L349=1,1,0)</f>
        <v>0</v>
      </c>
      <c r="J349">
        <f>IF(L349=2,1,0)</f>
        <v>0</v>
      </c>
      <c r="K349">
        <f>IF(L349=3,1,0)</f>
        <v>1</v>
      </c>
      <c r="L349">
        <f>VALUE(LEFT(M349,1))</f>
        <v>3</v>
      </c>
      <c r="M349" t="s">
        <v>575</v>
      </c>
      <c r="N349" t="s">
        <v>595</v>
      </c>
      <c r="O349" t="s">
        <v>740</v>
      </c>
    </row>
    <row r="350" spans="2:16">
      <c r="B350">
        <v>32.299999999999997</v>
      </c>
      <c r="C350">
        <v>4</v>
      </c>
      <c r="D350">
        <v>97</v>
      </c>
      <c r="E350">
        <v>67</v>
      </c>
      <c r="F350">
        <v>2065</v>
      </c>
      <c r="G350">
        <v>17.8</v>
      </c>
      <c r="H350">
        <v>81</v>
      </c>
      <c r="I350">
        <f>IF(L350=1,1,0)</f>
        <v>0</v>
      </c>
      <c r="J350">
        <f>IF(L350=2,1,0)</f>
        <v>0</v>
      </c>
      <c r="K350">
        <f>IF(L350=3,1,0)</f>
        <v>1</v>
      </c>
      <c r="L350">
        <f>VALUE(LEFT(M350,1))</f>
        <v>3</v>
      </c>
      <c r="M350" t="s">
        <v>577</v>
      </c>
    </row>
    <row r="351" spans="2:16">
      <c r="B351">
        <v>37</v>
      </c>
      <c r="C351">
        <v>4</v>
      </c>
      <c r="D351">
        <v>85</v>
      </c>
      <c r="E351">
        <v>65</v>
      </c>
      <c r="F351">
        <v>1975</v>
      </c>
      <c r="G351">
        <v>19.399999999999999</v>
      </c>
      <c r="H351">
        <v>81</v>
      </c>
      <c r="I351">
        <f>IF(L351=1,1,0)</f>
        <v>0</v>
      </c>
      <c r="J351">
        <f>IF(L351=2,1,0)</f>
        <v>0</v>
      </c>
      <c r="K351">
        <f>IF(L351=3,1,0)</f>
        <v>1</v>
      </c>
      <c r="L351">
        <f>VALUE(LEFT(M351,1))</f>
        <v>3</v>
      </c>
      <c r="M351" t="s">
        <v>451</v>
      </c>
      <c r="N351">
        <v>210</v>
      </c>
      <c r="O351" t="s">
        <v>741</v>
      </c>
    </row>
    <row r="352" spans="2:16">
      <c r="B352">
        <v>37.700000000000003</v>
      </c>
      <c r="C352">
        <v>4</v>
      </c>
      <c r="D352">
        <v>89</v>
      </c>
      <c r="E352">
        <v>62</v>
      </c>
      <c r="F352">
        <v>2050</v>
      </c>
      <c r="G352">
        <v>17.3</v>
      </c>
      <c r="H352">
        <v>81</v>
      </c>
      <c r="I352">
        <f>IF(L352=1,1,0)</f>
        <v>0</v>
      </c>
      <c r="J352">
        <f>IF(L352=2,1,0)</f>
        <v>0</v>
      </c>
      <c r="K352">
        <f>IF(L352=3,1,0)</f>
        <v>1</v>
      </c>
      <c r="L352">
        <f>VALUE(LEFT(M352,1))</f>
        <v>3</v>
      </c>
      <c r="M352" t="s">
        <v>444</v>
      </c>
      <c r="N352" t="s">
        <v>716</v>
      </c>
    </row>
    <row r="353" spans="2:16">
      <c r="B353">
        <v>34.1</v>
      </c>
      <c r="C353">
        <v>4</v>
      </c>
      <c r="D353">
        <v>91</v>
      </c>
      <c r="E353">
        <v>68</v>
      </c>
      <c r="F353">
        <v>1985</v>
      </c>
      <c r="G353">
        <v>16</v>
      </c>
      <c r="H353">
        <v>81</v>
      </c>
      <c r="I353">
        <f>IF(L353=1,1,0)</f>
        <v>0</v>
      </c>
      <c r="J353">
        <f>IF(L353=2,1,0)</f>
        <v>0</v>
      </c>
      <c r="K353">
        <f>IF(L353=3,1,0)</f>
        <v>1</v>
      </c>
      <c r="L353">
        <f>VALUE(LEFT(M353,1))</f>
        <v>3</v>
      </c>
      <c r="M353" t="s">
        <v>518</v>
      </c>
      <c r="N353" t="s">
        <v>653</v>
      </c>
      <c r="O353" t="s">
        <v>692</v>
      </c>
    </row>
    <row r="354" spans="2:16">
      <c r="B354">
        <v>34.700000000000003</v>
      </c>
      <c r="C354">
        <v>4</v>
      </c>
      <c r="D354">
        <v>105</v>
      </c>
      <c r="E354">
        <v>63</v>
      </c>
      <c r="F354">
        <v>2215</v>
      </c>
      <c r="G354">
        <v>14.9</v>
      </c>
      <c r="H354">
        <v>81</v>
      </c>
      <c r="I354">
        <f>IF(L354=1,1,0)</f>
        <v>1</v>
      </c>
      <c r="J354">
        <f>IF(L354=2,1,0)</f>
        <v>0</v>
      </c>
      <c r="K354">
        <f>IF(L354=3,1,0)</f>
        <v>0</v>
      </c>
      <c r="L354">
        <f>VALUE(LEFT(M354,1))</f>
        <v>1</v>
      </c>
      <c r="M354" t="s">
        <v>418</v>
      </c>
      <c r="N354" t="s">
        <v>708</v>
      </c>
      <c r="O354" t="s">
        <v>692</v>
      </c>
    </row>
    <row r="355" spans="2:16">
      <c r="B355">
        <v>34.4</v>
      </c>
      <c r="C355">
        <v>4</v>
      </c>
      <c r="D355">
        <v>98</v>
      </c>
      <c r="E355">
        <v>65</v>
      </c>
      <c r="F355">
        <v>2045</v>
      </c>
      <c r="G355">
        <v>16.2</v>
      </c>
      <c r="H355">
        <v>81</v>
      </c>
      <c r="I355">
        <f>IF(L355=1,1,0)</f>
        <v>1</v>
      </c>
      <c r="J355">
        <f>IF(L355=2,1,0)</f>
        <v>0</v>
      </c>
      <c r="K355">
        <f>IF(L355=3,1,0)</f>
        <v>0</v>
      </c>
      <c r="L355">
        <f>VALUE(LEFT(M355,1))</f>
        <v>1</v>
      </c>
      <c r="M355" t="s">
        <v>423</v>
      </c>
      <c r="N355" t="s">
        <v>742</v>
      </c>
      <c r="O355" t="s">
        <v>743</v>
      </c>
    </row>
    <row r="356" spans="2:16">
      <c r="B356">
        <v>29.9</v>
      </c>
      <c r="C356">
        <v>4</v>
      </c>
      <c r="D356">
        <v>98</v>
      </c>
      <c r="E356">
        <v>65</v>
      </c>
      <c r="F356">
        <v>2380</v>
      </c>
      <c r="G356">
        <v>20.7</v>
      </c>
      <c r="H356">
        <v>81</v>
      </c>
      <c r="I356">
        <f>IF(L356=1,1,0)</f>
        <v>1</v>
      </c>
      <c r="J356">
        <f>IF(L356=2,1,0)</f>
        <v>0</v>
      </c>
      <c r="K356">
        <f>IF(L356=3,1,0)</f>
        <v>0</v>
      </c>
      <c r="L356">
        <f>VALUE(LEFT(M356,1))</f>
        <v>1</v>
      </c>
      <c r="M356" t="s">
        <v>423</v>
      </c>
      <c r="N356" t="s">
        <v>742</v>
      </c>
      <c r="O356" t="s">
        <v>744</v>
      </c>
    </row>
    <row r="357" spans="2:16">
      <c r="B357">
        <v>33</v>
      </c>
      <c r="C357">
        <v>4</v>
      </c>
      <c r="D357">
        <v>105</v>
      </c>
      <c r="E357">
        <v>74</v>
      </c>
      <c r="F357">
        <v>2190</v>
      </c>
      <c r="G357">
        <v>14.2</v>
      </c>
      <c r="H357">
        <v>81</v>
      </c>
      <c r="I357">
        <f>IF(L357=1,1,0)</f>
        <v>0</v>
      </c>
      <c r="J357">
        <f>IF(L357=2,1,0)</f>
        <v>1</v>
      </c>
      <c r="K357">
        <f>IF(L357=3,1,0)</f>
        <v>0</v>
      </c>
      <c r="L357">
        <f>VALUE(LEFT(M357,1))</f>
        <v>2</v>
      </c>
      <c r="M357" t="s">
        <v>453</v>
      </c>
      <c r="N357" t="s">
        <v>745</v>
      </c>
    </row>
    <row r="358" spans="2:16">
      <c r="B358">
        <v>34.5</v>
      </c>
      <c r="C358">
        <v>4</v>
      </c>
      <c r="D358">
        <v>100</v>
      </c>
      <c r="E358" t="s">
        <v>474</v>
      </c>
      <c r="F358">
        <v>2320</v>
      </c>
      <c r="G358">
        <v>15.8</v>
      </c>
      <c r="H358">
        <v>81</v>
      </c>
      <c r="I358">
        <f>IF(L358=1,1,0)</f>
        <v>0</v>
      </c>
      <c r="J358">
        <f>IF(L358=2,1,0)</f>
        <v>1</v>
      </c>
      <c r="K358">
        <f>IF(L358=3,1,0)</f>
        <v>0</v>
      </c>
      <c r="L358">
        <f>VALUE(LEFT(M358,1))</f>
        <v>2</v>
      </c>
      <c r="M358" t="s">
        <v>527</v>
      </c>
      <c r="N358" t="s">
        <v>746</v>
      </c>
    </row>
    <row r="359" spans="2:16">
      <c r="B359">
        <v>33.700000000000003</v>
      </c>
      <c r="C359">
        <v>4</v>
      </c>
      <c r="D359">
        <v>107</v>
      </c>
      <c r="E359">
        <v>75</v>
      </c>
      <c r="F359">
        <v>2210</v>
      </c>
      <c r="G359">
        <v>14.4</v>
      </c>
      <c r="H359">
        <v>81</v>
      </c>
      <c r="I359">
        <f>IF(L359=1,1,0)</f>
        <v>0</v>
      </c>
      <c r="J359">
        <f>IF(L359=2,1,0)</f>
        <v>0</v>
      </c>
      <c r="K359">
        <f>IF(L359=3,1,0)</f>
        <v>1</v>
      </c>
      <c r="L359">
        <f>VALUE(LEFT(M359,1))</f>
        <v>3</v>
      </c>
      <c r="M359" t="s">
        <v>575</v>
      </c>
      <c r="N359" t="s">
        <v>747</v>
      </c>
    </row>
    <row r="360" spans="2:16">
      <c r="B360">
        <v>32.4</v>
      </c>
      <c r="C360">
        <v>4</v>
      </c>
      <c r="D360">
        <v>108</v>
      </c>
      <c r="E360">
        <v>75</v>
      </c>
      <c r="F360">
        <v>2350</v>
      </c>
      <c r="G360">
        <v>16.8</v>
      </c>
      <c r="H360">
        <v>81</v>
      </c>
      <c r="I360">
        <f>IF(L360=1,1,0)</f>
        <v>0</v>
      </c>
      <c r="J360">
        <f>IF(L360=2,1,0)</f>
        <v>0</v>
      </c>
      <c r="K360">
        <f>IF(L360=3,1,0)</f>
        <v>1</v>
      </c>
      <c r="L360">
        <f>VALUE(LEFT(M360,1))</f>
        <v>3</v>
      </c>
      <c r="M360" t="s">
        <v>444</v>
      </c>
      <c r="N360" t="s">
        <v>590</v>
      </c>
    </row>
    <row r="361" spans="2:16">
      <c r="B361">
        <v>32.9</v>
      </c>
      <c r="C361">
        <v>4</v>
      </c>
      <c r="D361">
        <v>119</v>
      </c>
      <c r="E361">
        <v>100</v>
      </c>
      <c r="F361">
        <v>2615</v>
      </c>
      <c r="G361">
        <v>14.8</v>
      </c>
      <c r="H361">
        <v>81</v>
      </c>
      <c r="I361">
        <f>IF(L361=1,1,0)</f>
        <v>0</v>
      </c>
      <c r="J361">
        <f>IF(L361=2,1,0)</f>
        <v>0</v>
      </c>
      <c r="K361">
        <f>IF(L361=3,1,0)</f>
        <v>1</v>
      </c>
      <c r="L361">
        <f>VALUE(LEFT(M361,1))</f>
        <v>3</v>
      </c>
      <c r="M361" t="s">
        <v>451</v>
      </c>
      <c r="N361" t="s">
        <v>748</v>
      </c>
    </row>
    <row r="362" spans="2:16">
      <c r="B362">
        <v>31.6</v>
      </c>
      <c r="C362">
        <v>4</v>
      </c>
      <c r="D362">
        <v>120</v>
      </c>
      <c r="E362">
        <v>74</v>
      </c>
      <c r="F362">
        <v>2635</v>
      </c>
      <c r="G362">
        <v>18.3</v>
      </c>
      <c r="H362">
        <v>81</v>
      </c>
      <c r="I362">
        <f>IF(L362=1,1,0)</f>
        <v>0</v>
      </c>
      <c r="J362">
        <f>IF(L362=2,1,0)</f>
        <v>0</v>
      </c>
      <c r="K362">
        <f>IF(L362=3,1,0)</f>
        <v>1</v>
      </c>
      <c r="L362">
        <f>VALUE(LEFT(M362,1))</f>
        <v>3</v>
      </c>
      <c r="M362" t="s">
        <v>518</v>
      </c>
      <c r="N362" t="s">
        <v>720</v>
      </c>
    </row>
    <row r="363" spans="2:16">
      <c r="B363">
        <v>28.1</v>
      </c>
      <c r="C363">
        <v>4</v>
      </c>
      <c r="D363">
        <v>141</v>
      </c>
      <c r="E363">
        <v>80</v>
      </c>
      <c r="F363">
        <v>3230</v>
      </c>
      <c r="G363">
        <v>20.399999999999999</v>
      </c>
      <c r="H363">
        <v>81</v>
      </c>
      <c r="I363">
        <f>IF(L363=1,1,0)</f>
        <v>0</v>
      </c>
      <c r="J363">
        <f>IF(L363=2,1,0)</f>
        <v>1</v>
      </c>
      <c r="K363">
        <f>IF(L363=3,1,0)</f>
        <v>0</v>
      </c>
      <c r="L363">
        <f>VALUE(LEFT(M363,1))</f>
        <v>2</v>
      </c>
      <c r="M363" t="s">
        <v>456</v>
      </c>
      <c r="N363" t="s">
        <v>749</v>
      </c>
      <c r="O363" t="s">
        <v>750</v>
      </c>
      <c r="P363" t="s">
        <v>651</v>
      </c>
    </row>
    <row r="364" spans="2:16">
      <c r="B364">
        <v>30.7</v>
      </c>
      <c r="C364">
        <v>6</v>
      </c>
      <c r="D364">
        <v>145</v>
      </c>
      <c r="E364">
        <v>76</v>
      </c>
      <c r="F364">
        <v>3160</v>
      </c>
      <c r="G364">
        <v>19.600000000000001</v>
      </c>
      <c r="H364">
        <v>81</v>
      </c>
      <c r="I364">
        <f>IF(L364=1,1,0)</f>
        <v>0</v>
      </c>
      <c r="J364">
        <f>IF(L364=2,1,0)</f>
        <v>1</v>
      </c>
      <c r="K364">
        <f>IF(L364=3,1,0)</f>
        <v>0</v>
      </c>
      <c r="L364">
        <f>VALUE(LEFT(M364,1))</f>
        <v>2</v>
      </c>
      <c r="M364" t="s">
        <v>525</v>
      </c>
      <c r="N364" t="s">
        <v>651</v>
      </c>
    </row>
    <row r="365" spans="2:16">
      <c r="B365">
        <v>25.4</v>
      </c>
      <c r="C365">
        <v>6</v>
      </c>
      <c r="D365">
        <v>168</v>
      </c>
      <c r="E365">
        <v>116</v>
      </c>
      <c r="F365">
        <v>2900</v>
      </c>
      <c r="G365">
        <v>12.6</v>
      </c>
      <c r="H365">
        <v>81</v>
      </c>
      <c r="I365">
        <f>IF(L365=1,1,0)</f>
        <v>0</v>
      </c>
      <c r="J365">
        <f>IF(L365=2,1,0)</f>
        <v>0</v>
      </c>
      <c r="K365">
        <f>IF(L365=3,1,0)</f>
        <v>1</v>
      </c>
      <c r="L365">
        <f>VALUE(LEFT(M365,1))</f>
        <v>3</v>
      </c>
      <c r="M365" t="s">
        <v>444</v>
      </c>
      <c r="N365" t="s">
        <v>751</v>
      </c>
    </row>
    <row r="366" spans="2:16">
      <c r="B366">
        <v>24.2</v>
      </c>
      <c r="C366">
        <v>6</v>
      </c>
      <c r="D366">
        <v>146</v>
      </c>
      <c r="E366">
        <v>120</v>
      </c>
      <c r="F366">
        <v>2930</v>
      </c>
      <c r="G366">
        <v>13.8</v>
      </c>
      <c r="H366">
        <v>81</v>
      </c>
      <c r="I366">
        <f>IF(L366=1,1,0)</f>
        <v>0</v>
      </c>
      <c r="J366">
        <f>IF(L366=2,1,0)</f>
        <v>0</v>
      </c>
      <c r="K366">
        <f>IF(L366=3,1,0)</f>
        <v>1</v>
      </c>
      <c r="L366">
        <f>VALUE(LEFT(M366,1))</f>
        <v>3</v>
      </c>
      <c r="M366" t="s">
        <v>451</v>
      </c>
      <c r="N366">
        <v>810</v>
      </c>
      <c r="O366" t="s">
        <v>752</v>
      </c>
    </row>
    <row r="367" spans="2:16">
      <c r="B367">
        <v>22.4</v>
      </c>
      <c r="C367">
        <v>6</v>
      </c>
      <c r="D367">
        <v>231</v>
      </c>
      <c r="E367">
        <v>110</v>
      </c>
      <c r="F367">
        <v>3415</v>
      </c>
      <c r="G367">
        <v>15.8</v>
      </c>
      <c r="H367">
        <v>81</v>
      </c>
      <c r="I367">
        <f>IF(L367=1,1,0)</f>
        <v>1</v>
      </c>
      <c r="J367">
        <f>IF(L367=2,1,0)</f>
        <v>0</v>
      </c>
      <c r="K367">
        <f>IF(L367=3,1,0)</f>
        <v>0</v>
      </c>
      <c r="L367">
        <f>VALUE(LEFT(M367,1))</f>
        <v>1</v>
      </c>
      <c r="M367" t="s">
        <v>415</v>
      </c>
      <c r="N367" t="s">
        <v>584</v>
      </c>
    </row>
    <row r="368" spans="2:16">
      <c r="B368">
        <v>26.6</v>
      </c>
      <c r="C368">
        <v>8</v>
      </c>
      <c r="D368">
        <v>350</v>
      </c>
      <c r="E368">
        <v>105</v>
      </c>
      <c r="F368">
        <v>3725</v>
      </c>
      <c r="G368">
        <v>19</v>
      </c>
      <c r="H368">
        <v>81</v>
      </c>
      <c r="I368">
        <f>IF(L368=1,1,0)</f>
        <v>1</v>
      </c>
      <c r="J368">
        <f>IF(L368=2,1,0)</f>
        <v>0</v>
      </c>
      <c r="K368">
        <f>IF(L368=3,1,0)</f>
        <v>0</v>
      </c>
      <c r="L368">
        <f>VALUE(LEFT(M368,1))</f>
        <v>1</v>
      </c>
      <c r="M368" t="s">
        <v>512</v>
      </c>
      <c r="N368" t="s">
        <v>631</v>
      </c>
      <c r="O368" t="s">
        <v>459</v>
      </c>
    </row>
    <row r="369" spans="2:16">
      <c r="B369">
        <v>20.2</v>
      </c>
      <c r="C369">
        <v>6</v>
      </c>
      <c r="D369">
        <v>200</v>
      </c>
      <c r="E369">
        <v>88</v>
      </c>
      <c r="F369">
        <v>3060</v>
      </c>
      <c r="G369">
        <v>17.100000000000001</v>
      </c>
      <c r="H369">
        <v>81</v>
      </c>
      <c r="I369">
        <f>IF(L369=1,1,0)</f>
        <v>1</v>
      </c>
      <c r="J369">
        <f>IF(L369=2,1,0)</f>
        <v>0</v>
      </c>
      <c r="K369">
        <f>IF(L369=3,1,0)</f>
        <v>0</v>
      </c>
      <c r="L369">
        <f>VALUE(LEFT(M369,1))</f>
        <v>1</v>
      </c>
      <c r="M369" t="s">
        <v>423</v>
      </c>
      <c r="N369" t="s">
        <v>604</v>
      </c>
      <c r="O369" t="s">
        <v>727</v>
      </c>
    </row>
    <row r="370" spans="2:16">
      <c r="B370">
        <v>17.600000000000001</v>
      </c>
      <c r="C370">
        <v>6</v>
      </c>
      <c r="D370">
        <v>225</v>
      </c>
      <c r="E370">
        <v>85</v>
      </c>
      <c r="F370">
        <v>3465</v>
      </c>
      <c r="G370">
        <v>16.600000000000001</v>
      </c>
      <c r="H370">
        <v>81</v>
      </c>
      <c r="I370">
        <f>IF(L370=1,1,0)</f>
        <v>1</v>
      </c>
      <c r="J370">
        <f>IF(L370=2,1,0)</f>
        <v>0</v>
      </c>
      <c r="K370">
        <f>IF(L370=3,1,0)</f>
        <v>0</v>
      </c>
      <c r="L370">
        <f>VALUE(LEFT(M370,1))</f>
        <v>1</v>
      </c>
      <c r="M370" t="s">
        <v>515</v>
      </c>
      <c r="N370" t="s">
        <v>698</v>
      </c>
      <c r="O370" t="s">
        <v>753</v>
      </c>
    </row>
    <row r="371" spans="2:16">
      <c r="B371">
        <v>28</v>
      </c>
      <c r="C371">
        <v>4</v>
      </c>
      <c r="D371">
        <v>112</v>
      </c>
      <c r="E371">
        <v>88</v>
      </c>
      <c r="F371">
        <v>2605</v>
      </c>
      <c r="G371">
        <v>19.600000000000001</v>
      </c>
      <c r="H371">
        <v>82</v>
      </c>
      <c r="I371">
        <f>IF(L371=1,1,0)</f>
        <v>1</v>
      </c>
      <c r="J371">
        <f>IF(L371=2,1,0)</f>
        <v>0</v>
      </c>
      <c r="K371">
        <f>IF(L371=3,1,0)</f>
        <v>0</v>
      </c>
      <c r="L371">
        <f>VALUE(LEFT(M371,1))</f>
        <v>1</v>
      </c>
      <c r="M371" t="s">
        <v>412</v>
      </c>
      <c r="N371" t="s">
        <v>754</v>
      </c>
    </row>
    <row r="372" spans="2:16">
      <c r="B372">
        <v>27</v>
      </c>
      <c r="C372">
        <v>4</v>
      </c>
      <c r="D372">
        <v>112</v>
      </c>
      <c r="E372">
        <v>88</v>
      </c>
      <c r="F372">
        <v>2640</v>
      </c>
      <c r="G372">
        <v>18.600000000000001</v>
      </c>
      <c r="H372">
        <v>82</v>
      </c>
      <c r="I372">
        <f>IF(L372=1,1,0)</f>
        <v>1</v>
      </c>
      <c r="J372">
        <f>IF(L372=2,1,0)</f>
        <v>0</v>
      </c>
      <c r="K372">
        <f>IF(L372=3,1,0)</f>
        <v>0</v>
      </c>
      <c r="L372">
        <f>VALUE(LEFT(M372,1))</f>
        <v>1</v>
      </c>
      <c r="M372" t="s">
        <v>412</v>
      </c>
      <c r="N372" t="s">
        <v>755</v>
      </c>
      <c r="O372" t="s">
        <v>756</v>
      </c>
    </row>
    <row r="373" spans="2:16">
      <c r="B373">
        <v>34</v>
      </c>
      <c r="C373">
        <v>4</v>
      </c>
      <c r="D373">
        <v>112</v>
      </c>
      <c r="E373">
        <v>88</v>
      </c>
      <c r="F373">
        <v>2395</v>
      </c>
      <c r="G373">
        <v>18</v>
      </c>
      <c r="H373">
        <v>82</v>
      </c>
      <c r="I373">
        <f>IF(L373=1,1,0)</f>
        <v>1</v>
      </c>
      <c r="J373">
        <f>IF(L373=2,1,0)</f>
        <v>0</v>
      </c>
      <c r="K373">
        <f>IF(L373=3,1,0)</f>
        <v>0</v>
      </c>
      <c r="L373">
        <f>VALUE(LEFT(M373,1))</f>
        <v>1</v>
      </c>
      <c r="M373" t="s">
        <v>412</v>
      </c>
      <c r="N373" t="s">
        <v>755</v>
      </c>
      <c r="O373" t="s">
        <v>757</v>
      </c>
    </row>
    <row r="374" spans="2:16">
      <c r="B374">
        <v>31</v>
      </c>
      <c r="C374">
        <v>4</v>
      </c>
      <c r="D374">
        <v>112</v>
      </c>
      <c r="E374">
        <v>85</v>
      </c>
      <c r="F374">
        <v>2575</v>
      </c>
      <c r="G374">
        <v>16.2</v>
      </c>
      <c r="H374">
        <v>82</v>
      </c>
      <c r="I374">
        <f>IF(L374=1,1,0)</f>
        <v>1</v>
      </c>
      <c r="J374">
        <f>IF(L374=2,1,0)</f>
        <v>0</v>
      </c>
      <c r="K374">
        <f>IF(L374=3,1,0)</f>
        <v>0</v>
      </c>
      <c r="L374">
        <f>VALUE(LEFT(M374,1))</f>
        <v>1</v>
      </c>
      <c r="M374" t="s">
        <v>430</v>
      </c>
      <c r="N374" t="s">
        <v>758</v>
      </c>
      <c r="O374" t="s">
        <v>759</v>
      </c>
      <c r="P374" t="s">
        <v>630</v>
      </c>
    </row>
    <row r="375" spans="2:16">
      <c r="B375">
        <v>29</v>
      </c>
      <c r="C375">
        <v>4</v>
      </c>
      <c r="D375">
        <v>135</v>
      </c>
      <c r="E375">
        <v>84</v>
      </c>
      <c r="F375">
        <v>2525</v>
      </c>
      <c r="G375">
        <v>16</v>
      </c>
      <c r="H375">
        <v>82</v>
      </c>
      <c r="I375">
        <f>IF(L375=1,1,0)</f>
        <v>1</v>
      </c>
      <c r="J375">
        <f>IF(L375=2,1,0)</f>
        <v>0</v>
      </c>
      <c r="K375">
        <f>IF(L375=3,1,0)</f>
        <v>0</v>
      </c>
      <c r="L375">
        <f>VALUE(LEFT(M375,1))</f>
        <v>1</v>
      </c>
      <c r="M375" t="s">
        <v>434</v>
      </c>
      <c r="N375" t="s">
        <v>737</v>
      </c>
      <c r="O375" t="s">
        <v>436</v>
      </c>
    </row>
    <row r="376" spans="2:16">
      <c r="B376">
        <v>27</v>
      </c>
      <c r="C376">
        <v>4</v>
      </c>
      <c r="D376">
        <v>151</v>
      </c>
      <c r="E376">
        <v>90</v>
      </c>
      <c r="F376">
        <v>2735</v>
      </c>
      <c r="G376">
        <v>18</v>
      </c>
      <c r="H376">
        <v>82</v>
      </c>
      <c r="I376">
        <f>IF(L376=1,1,0)</f>
        <v>1</v>
      </c>
      <c r="J376">
        <f>IF(L376=2,1,0)</f>
        <v>0</v>
      </c>
      <c r="K376">
        <f>IF(L376=3,1,0)</f>
        <v>0</v>
      </c>
      <c r="L376">
        <f>VALUE(LEFT(M376,1))</f>
        <v>1</v>
      </c>
      <c r="M376" t="s">
        <v>430</v>
      </c>
      <c r="N376" t="s">
        <v>715</v>
      </c>
    </row>
    <row r="377" spans="2:16">
      <c r="B377">
        <v>24</v>
      </c>
      <c r="C377">
        <v>4</v>
      </c>
      <c r="D377">
        <v>140</v>
      </c>
      <c r="E377">
        <v>92</v>
      </c>
      <c r="F377">
        <v>2865</v>
      </c>
      <c r="G377">
        <v>16.399999999999999</v>
      </c>
      <c r="H377">
        <v>82</v>
      </c>
      <c r="I377">
        <f>IF(L377=1,1,0)</f>
        <v>1</v>
      </c>
      <c r="J377">
        <f>IF(L377=2,1,0)</f>
        <v>0</v>
      </c>
      <c r="K377">
        <f>IF(L377=3,1,0)</f>
        <v>0</v>
      </c>
      <c r="L377">
        <f>VALUE(LEFT(M377,1))</f>
        <v>1</v>
      </c>
      <c r="M377" t="s">
        <v>423</v>
      </c>
      <c r="N377" t="s">
        <v>660</v>
      </c>
      <c r="O377" t="s">
        <v>672</v>
      </c>
    </row>
    <row r="378" spans="2:16">
      <c r="B378">
        <v>23</v>
      </c>
      <c r="C378">
        <v>4</v>
      </c>
      <c r="D378">
        <v>151</v>
      </c>
      <c r="E378" t="s">
        <v>474</v>
      </c>
      <c r="F378">
        <v>3035</v>
      </c>
      <c r="G378">
        <v>20.5</v>
      </c>
      <c r="H378">
        <v>82</v>
      </c>
      <c r="I378">
        <f>IF(L378=1,1,0)</f>
        <v>1</v>
      </c>
      <c r="J378">
        <f>IF(L378=2,1,0)</f>
        <v>0</v>
      </c>
      <c r="K378">
        <f>IF(L378=3,1,0)</f>
        <v>0</v>
      </c>
      <c r="L378">
        <f>VALUE(LEFT(M378,1))</f>
        <v>1</v>
      </c>
      <c r="M378" t="s">
        <v>420</v>
      </c>
      <c r="N378" t="s">
        <v>668</v>
      </c>
      <c r="O378" t="s">
        <v>647</v>
      </c>
    </row>
    <row r="379" spans="2:16">
      <c r="B379">
        <v>36</v>
      </c>
      <c r="C379">
        <v>4</v>
      </c>
      <c r="D379">
        <v>105</v>
      </c>
      <c r="E379">
        <v>74</v>
      </c>
      <c r="F379">
        <v>1980</v>
      </c>
      <c r="G379">
        <v>15.3</v>
      </c>
      <c r="H379">
        <v>82</v>
      </c>
      <c r="I379">
        <f>IF(L379=1,1,0)</f>
        <v>0</v>
      </c>
      <c r="J379">
        <f>IF(L379=2,1,0)</f>
        <v>1</v>
      </c>
      <c r="K379">
        <f>IF(L379=3,1,0)</f>
        <v>0</v>
      </c>
      <c r="L379">
        <f>VALUE(LEFT(M379,1))</f>
        <v>2</v>
      </c>
      <c r="M379" t="s">
        <v>453</v>
      </c>
      <c r="N379" t="s">
        <v>642</v>
      </c>
      <c r="O379" t="s">
        <v>760</v>
      </c>
    </row>
    <row r="380" spans="2:16">
      <c r="B380">
        <v>37</v>
      </c>
      <c r="C380">
        <v>4</v>
      </c>
      <c r="D380">
        <v>91</v>
      </c>
      <c r="E380">
        <v>68</v>
      </c>
      <c r="F380">
        <v>2025</v>
      </c>
      <c r="G380">
        <v>18.2</v>
      </c>
      <c r="H380">
        <v>82</v>
      </c>
      <c r="I380">
        <f>IF(L380=1,1,0)</f>
        <v>0</v>
      </c>
      <c r="J380">
        <f>IF(L380=2,1,0)</f>
        <v>0</v>
      </c>
      <c r="K380">
        <f>IF(L380=3,1,0)</f>
        <v>1</v>
      </c>
      <c r="L380">
        <f>VALUE(LEFT(M380,1))</f>
        <v>3</v>
      </c>
      <c r="M380" t="s">
        <v>518</v>
      </c>
      <c r="N380" t="s">
        <v>653</v>
      </c>
      <c r="O380" t="s">
        <v>524</v>
      </c>
      <c r="P380" t="s">
        <v>760</v>
      </c>
    </row>
    <row r="381" spans="2:16">
      <c r="B381">
        <v>31</v>
      </c>
      <c r="C381">
        <v>4</v>
      </c>
      <c r="D381">
        <v>91</v>
      </c>
      <c r="E381">
        <v>68</v>
      </c>
      <c r="F381">
        <v>1970</v>
      </c>
      <c r="G381">
        <v>17.600000000000001</v>
      </c>
      <c r="H381">
        <v>82</v>
      </c>
      <c r="I381">
        <f>IF(L381=1,1,0)</f>
        <v>0</v>
      </c>
      <c r="J381">
        <f>IF(L381=2,1,0)</f>
        <v>0</v>
      </c>
      <c r="K381">
        <f>IF(L381=3,1,0)</f>
        <v>1</v>
      </c>
      <c r="L381">
        <f>VALUE(LEFT(M381,1))</f>
        <v>3</v>
      </c>
      <c r="M381" t="s">
        <v>518</v>
      </c>
      <c r="N381" t="s">
        <v>653</v>
      </c>
      <c r="O381" t="s">
        <v>477</v>
      </c>
    </row>
    <row r="382" spans="2:16">
      <c r="B382">
        <v>38</v>
      </c>
      <c r="C382">
        <v>4</v>
      </c>
      <c r="D382">
        <v>105</v>
      </c>
      <c r="E382">
        <v>63</v>
      </c>
      <c r="F382">
        <v>2125</v>
      </c>
      <c r="G382">
        <v>14.7</v>
      </c>
      <c r="H382">
        <v>82</v>
      </c>
      <c r="I382">
        <f>IF(L382=1,1,0)</f>
        <v>1</v>
      </c>
      <c r="J382">
        <f>IF(L382=2,1,0)</f>
        <v>0</v>
      </c>
      <c r="K382">
        <f>IF(L382=3,1,0)</f>
        <v>0</v>
      </c>
      <c r="L382">
        <f>VALUE(LEFT(M382,1))</f>
        <v>1</v>
      </c>
      <c r="M382" t="s">
        <v>418</v>
      </c>
      <c r="N382" t="s">
        <v>708</v>
      </c>
      <c r="O382" t="s">
        <v>761</v>
      </c>
    </row>
    <row r="383" spans="2:16">
      <c r="B383">
        <v>36</v>
      </c>
      <c r="C383">
        <v>4</v>
      </c>
      <c r="D383">
        <v>98</v>
      </c>
      <c r="E383">
        <v>70</v>
      </c>
      <c r="F383">
        <v>2125</v>
      </c>
      <c r="G383">
        <v>17.3</v>
      </c>
      <c r="H383">
        <v>82</v>
      </c>
      <c r="I383">
        <f>IF(L383=1,1,0)</f>
        <v>1</v>
      </c>
      <c r="J383">
        <f>IF(L383=2,1,0)</f>
        <v>0</v>
      </c>
      <c r="K383">
        <f>IF(L383=3,1,0)</f>
        <v>0</v>
      </c>
      <c r="L383">
        <f>VALUE(LEFT(M383,1))</f>
        <v>1</v>
      </c>
      <c r="M383" t="s">
        <v>490</v>
      </c>
      <c r="N383" t="s">
        <v>762</v>
      </c>
      <c r="O383" t="s">
        <v>760</v>
      </c>
    </row>
    <row r="384" spans="2:16">
      <c r="B384">
        <v>36</v>
      </c>
      <c r="C384">
        <v>4</v>
      </c>
      <c r="D384">
        <v>120</v>
      </c>
      <c r="E384">
        <v>88</v>
      </c>
      <c r="F384">
        <v>2160</v>
      </c>
      <c r="G384">
        <v>14.5</v>
      </c>
      <c r="H384">
        <v>82</v>
      </c>
      <c r="I384">
        <f>IF(L384=1,1,0)</f>
        <v>0</v>
      </c>
      <c r="J384">
        <f>IF(L384=2,1,0)</f>
        <v>0</v>
      </c>
      <c r="K384">
        <f>IF(L384=3,1,0)</f>
        <v>1</v>
      </c>
      <c r="L384">
        <f>VALUE(LEFT(M384,1))</f>
        <v>3</v>
      </c>
      <c r="M384" t="s">
        <v>763</v>
      </c>
      <c r="N384" t="s">
        <v>764</v>
      </c>
      <c r="O384" t="s">
        <v>674</v>
      </c>
    </row>
    <row r="385" spans="2:16">
      <c r="B385">
        <v>36</v>
      </c>
      <c r="C385">
        <v>4</v>
      </c>
      <c r="D385">
        <v>107</v>
      </c>
      <c r="E385">
        <v>75</v>
      </c>
      <c r="F385">
        <v>2205</v>
      </c>
      <c r="G385">
        <v>14.5</v>
      </c>
      <c r="H385">
        <v>82</v>
      </c>
      <c r="I385">
        <f>IF(L385=1,1,0)</f>
        <v>0</v>
      </c>
      <c r="J385">
        <f>IF(L385=2,1,0)</f>
        <v>0</v>
      </c>
      <c r="K385">
        <f>IF(L385=3,1,0)</f>
        <v>1</v>
      </c>
      <c r="L385">
        <f>VALUE(LEFT(M385,1))</f>
        <v>3</v>
      </c>
      <c r="M385" t="s">
        <v>575</v>
      </c>
      <c r="N385" t="s">
        <v>735</v>
      </c>
    </row>
    <row r="386" spans="2:16">
      <c r="B386">
        <v>34</v>
      </c>
      <c r="C386">
        <v>4</v>
      </c>
      <c r="D386">
        <v>108</v>
      </c>
      <c r="E386">
        <v>70</v>
      </c>
      <c r="F386">
        <v>2245</v>
      </c>
      <c r="G386">
        <v>16.899999999999999</v>
      </c>
      <c r="H386">
        <v>82</v>
      </c>
      <c r="I386">
        <f>IF(L386=1,1,0)</f>
        <v>0</v>
      </c>
      <c r="J386">
        <f>IF(L386=2,1,0)</f>
        <v>0</v>
      </c>
      <c r="K386">
        <f>IF(L386=3,1,0)</f>
        <v>1</v>
      </c>
      <c r="L386">
        <f>VALUE(LEFT(M386,1))</f>
        <v>3</v>
      </c>
      <c r="M386" t="s">
        <v>444</v>
      </c>
      <c r="N386" t="s">
        <v>590</v>
      </c>
    </row>
    <row r="387" spans="2:16">
      <c r="B387">
        <v>38</v>
      </c>
      <c r="C387">
        <v>4</v>
      </c>
      <c r="D387">
        <v>91</v>
      </c>
      <c r="E387">
        <v>67</v>
      </c>
      <c r="F387">
        <v>1965</v>
      </c>
      <c r="G387">
        <v>15</v>
      </c>
      <c r="H387">
        <v>82</v>
      </c>
      <c r="I387">
        <f>IF(L387=1,1,0)</f>
        <v>0</v>
      </c>
      <c r="J387">
        <f>IF(L387=2,1,0)</f>
        <v>0</v>
      </c>
      <c r="K387">
        <f>IF(L387=3,1,0)</f>
        <v>1</v>
      </c>
      <c r="L387">
        <f>VALUE(LEFT(M387,1))</f>
        <v>3</v>
      </c>
      <c r="M387" t="s">
        <v>575</v>
      </c>
      <c r="N387" t="s">
        <v>576</v>
      </c>
    </row>
    <row r="388" spans="2:16">
      <c r="B388">
        <v>32</v>
      </c>
      <c r="C388">
        <v>4</v>
      </c>
      <c r="D388">
        <v>91</v>
      </c>
      <c r="E388">
        <v>67</v>
      </c>
      <c r="F388">
        <v>1965</v>
      </c>
      <c r="G388">
        <v>15.7</v>
      </c>
      <c r="H388">
        <v>82</v>
      </c>
      <c r="I388">
        <f>IF(L388=1,1,0)</f>
        <v>0</v>
      </c>
      <c r="J388">
        <f>IF(L388=2,1,0)</f>
        <v>0</v>
      </c>
      <c r="K388">
        <f>IF(L388=3,1,0)</f>
        <v>1</v>
      </c>
      <c r="L388">
        <f>VALUE(LEFT(M388,1))</f>
        <v>3</v>
      </c>
      <c r="M388" t="s">
        <v>575</v>
      </c>
      <c r="N388" t="s">
        <v>595</v>
      </c>
      <c r="O388" t="s">
        <v>661</v>
      </c>
    </row>
    <row r="389" spans="2:16">
      <c r="B389">
        <v>38</v>
      </c>
      <c r="C389">
        <v>4</v>
      </c>
      <c r="D389">
        <v>91</v>
      </c>
      <c r="E389">
        <v>67</v>
      </c>
      <c r="F389">
        <v>1995</v>
      </c>
      <c r="G389">
        <v>16.2</v>
      </c>
      <c r="H389">
        <v>82</v>
      </c>
      <c r="I389">
        <f>IF(L389=1,1,0)</f>
        <v>0</v>
      </c>
      <c r="J389">
        <f>IF(L389=2,1,0)</f>
        <v>0</v>
      </c>
      <c r="K389">
        <f>IF(L389=3,1,0)</f>
        <v>1</v>
      </c>
      <c r="L389">
        <f>VALUE(LEFT(M389,1))</f>
        <v>3</v>
      </c>
      <c r="M389" t="s">
        <v>451</v>
      </c>
      <c r="N389">
        <v>310</v>
      </c>
      <c r="O389" t="s">
        <v>655</v>
      </c>
    </row>
    <row r="390" spans="2:16">
      <c r="B390">
        <v>25</v>
      </c>
      <c r="C390">
        <v>6</v>
      </c>
      <c r="D390">
        <v>181</v>
      </c>
      <c r="E390">
        <v>110</v>
      </c>
      <c r="F390">
        <v>2945</v>
      </c>
      <c r="G390">
        <v>16.399999999999999</v>
      </c>
      <c r="H390">
        <v>82</v>
      </c>
      <c r="I390">
        <f>IF(L390=1,1,0)</f>
        <v>1</v>
      </c>
      <c r="J390">
        <f>IF(L390=2,1,0)</f>
        <v>0</v>
      </c>
      <c r="K390">
        <f>IF(L390=3,1,0)</f>
        <v>0</v>
      </c>
      <c r="L390">
        <f>VALUE(LEFT(M390,1))</f>
        <v>1</v>
      </c>
      <c r="M390" t="s">
        <v>415</v>
      </c>
      <c r="N390" t="s">
        <v>530</v>
      </c>
      <c r="O390" t="s">
        <v>712</v>
      </c>
    </row>
    <row r="391" spans="2:16">
      <c r="B391">
        <v>38</v>
      </c>
      <c r="C391">
        <v>6</v>
      </c>
      <c r="D391">
        <v>262</v>
      </c>
      <c r="E391">
        <v>85</v>
      </c>
      <c r="F391">
        <v>3015</v>
      </c>
      <c r="G391">
        <v>17</v>
      </c>
      <c r="H391">
        <v>82</v>
      </c>
      <c r="I391">
        <f>IF(L391=1,1,0)</f>
        <v>1</v>
      </c>
      <c r="J391">
        <f>IF(L391=2,1,0)</f>
        <v>0</v>
      </c>
      <c r="K391">
        <f>IF(L391=3,1,0)</f>
        <v>0</v>
      </c>
      <c r="L391">
        <f>VALUE(LEFT(M391,1))</f>
        <v>1</v>
      </c>
      <c r="M391" t="s">
        <v>512</v>
      </c>
      <c r="N391" t="s">
        <v>631</v>
      </c>
      <c r="O391" t="s">
        <v>765</v>
      </c>
      <c r="P391" t="s">
        <v>723</v>
      </c>
    </row>
    <row r="392" spans="2:16">
      <c r="B392">
        <v>26</v>
      </c>
      <c r="C392">
        <v>4</v>
      </c>
      <c r="D392">
        <v>156</v>
      </c>
      <c r="E392">
        <v>92</v>
      </c>
      <c r="F392">
        <v>2585</v>
      </c>
      <c r="G392">
        <v>14.5</v>
      </c>
      <c r="H392">
        <v>82</v>
      </c>
      <c r="I392">
        <f>IF(L392=1,1,0)</f>
        <v>1</v>
      </c>
      <c r="J392">
        <f>IF(L392=2,1,0)</f>
        <v>0</v>
      </c>
      <c r="K392">
        <f>IF(L392=3,1,0)</f>
        <v>0</v>
      </c>
      <c r="L392">
        <f>VALUE(LEFT(M392,1))</f>
        <v>1</v>
      </c>
      <c r="M392" t="s">
        <v>515</v>
      </c>
      <c r="N392" t="s">
        <v>698</v>
      </c>
      <c r="O392" t="s">
        <v>766</v>
      </c>
    </row>
    <row r="393" spans="2:16">
      <c r="B393">
        <v>22</v>
      </c>
      <c r="C393">
        <v>6</v>
      </c>
      <c r="D393">
        <v>232</v>
      </c>
      <c r="E393">
        <v>112</v>
      </c>
      <c r="F393">
        <v>2835</v>
      </c>
      <c r="G393">
        <v>14.7</v>
      </c>
      <c r="H393">
        <v>82</v>
      </c>
      <c r="I393">
        <f>IF(L393=1,1,0)</f>
        <v>1</v>
      </c>
      <c r="J393">
        <f>IF(L393=2,1,0)</f>
        <v>0</v>
      </c>
      <c r="K393">
        <f>IF(L393=3,1,0)</f>
        <v>0</v>
      </c>
      <c r="L393">
        <f>VALUE(LEFT(M393,1))</f>
        <v>1</v>
      </c>
      <c r="M393" t="s">
        <v>423</v>
      </c>
      <c r="N393" t="s">
        <v>604</v>
      </c>
      <c r="O393" t="s">
        <v>760</v>
      </c>
    </row>
    <row r="394" spans="2:16">
      <c r="B394">
        <v>32</v>
      </c>
      <c r="C394">
        <v>4</v>
      </c>
      <c r="D394">
        <v>144</v>
      </c>
      <c r="E394">
        <v>96</v>
      </c>
      <c r="F394">
        <v>2665</v>
      </c>
      <c r="G394">
        <v>13.9</v>
      </c>
      <c r="H394">
        <v>82</v>
      </c>
      <c r="I394">
        <f>IF(L394=1,1,0)</f>
        <v>0</v>
      </c>
      <c r="J394">
        <f>IF(L394=2,1,0)</f>
        <v>0</v>
      </c>
      <c r="K394">
        <f>IF(L394=3,1,0)</f>
        <v>1</v>
      </c>
      <c r="L394">
        <f>VALUE(LEFT(M394,1))</f>
        <v>3</v>
      </c>
      <c r="M394" t="s">
        <v>444</v>
      </c>
      <c r="N394" t="s">
        <v>677</v>
      </c>
      <c r="O394" t="s">
        <v>767</v>
      </c>
    </row>
    <row r="395" spans="2:16">
      <c r="B395">
        <v>36</v>
      </c>
      <c r="C395">
        <v>4</v>
      </c>
      <c r="D395">
        <v>135</v>
      </c>
      <c r="E395">
        <v>84</v>
      </c>
      <c r="F395">
        <v>2370</v>
      </c>
      <c r="G395">
        <v>13</v>
      </c>
      <c r="H395">
        <v>82</v>
      </c>
      <c r="I395">
        <f>IF(L395=1,1,0)</f>
        <v>1</v>
      </c>
      <c r="J395">
        <f>IF(L395=2,1,0)</f>
        <v>0</v>
      </c>
      <c r="K395">
        <f>IF(L395=3,1,0)</f>
        <v>0</v>
      </c>
      <c r="L395">
        <f>VALUE(LEFT(M395,1))</f>
        <v>1</v>
      </c>
      <c r="M395" t="s">
        <v>434</v>
      </c>
      <c r="N395" t="s">
        <v>768</v>
      </c>
      <c r="O395" t="s">
        <v>769</v>
      </c>
    </row>
    <row r="396" spans="2:16">
      <c r="B396">
        <v>27</v>
      </c>
      <c r="C396">
        <v>4</v>
      </c>
      <c r="D396">
        <v>151</v>
      </c>
      <c r="E396">
        <v>90</v>
      </c>
      <c r="F396">
        <v>2950</v>
      </c>
      <c r="G396">
        <v>17.3</v>
      </c>
      <c r="H396">
        <v>82</v>
      </c>
      <c r="I396">
        <f>IF(L396=1,1,0)</f>
        <v>1</v>
      </c>
      <c r="J396">
        <f>IF(L396=2,1,0)</f>
        <v>0</v>
      </c>
      <c r="K396">
        <f>IF(L396=3,1,0)</f>
        <v>0</v>
      </c>
      <c r="L396">
        <f>VALUE(LEFT(M396,1))</f>
        <v>1</v>
      </c>
      <c r="M396" t="s">
        <v>412</v>
      </c>
      <c r="N396" t="s">
        <v>770</v>
      </c>
    </row>
    <row r="397" spans="2:16">
      <c r="B397">
        <v>27</v>
      </c>
      <c r="C397">
        <v>4</v>
      </c>
      <c r="D397">
        <v>140</v>
      </c>
      <c r="E397">
        <v>86</v>
      </c>
      <c r="F397">
        <v>2790</v>
      </c>
      <c r="G397">
        <v>15.6</v>
      </c>
      <c r="H397">
        <v>82</v>
      </c>
      <c r="I397">
        <f>IF(L397=1,1,0)</f>
        <v>1</v>
      </c>
      <c r="J397">
        <f>IF(L397=2,1,0)</f>
        <v>0</v>
      </c>
      <c r="K397">
        <f>IF(L397=3,1,0)</f>
        <v>0</v>
      </c>
      <c r="L397">
        <f>VALUE(LEFT(M397,1))</f>
        <v>1</v>
      </c>
      <c r="M397" t="s">
        <v>423</v>
      </c>
      <c r="N397" t="s">
        <v>589</v>
      </c>
      <c r="O397" t="s">
        <v>727</v>
      </c>
    </row>
    <row r="398" spans="2:16">
      <c r="B398">
        <v>44</v>
      </c>
      <c r="C398">
        <v>4</v>
      </c>
      <c r="D398">
        <v>97</v>
      </c>
      <c r="E398">
        <v>52</v>
      </c>
      <c r="F398">
        <v>2130</v>
      </c>
      <c r="G398">
        <v>24.6</v>
      </c>
      <c r="H398">
        <v>82</v>
      </c>
      <c r="I398">
        <f>IF(L398=1,1,0)</f>
        <v>0</v>
      </c>
      <c r="J398">
        <f>IF(L398=2,1,0)</f>
        <v>1</v>
      </c>
      <c r="K398">
        <f>IF(L398=3,1,0)</f>
        <v>0</v>
      </c>
      <c r="L398">
        <f>VALUE(LEFT(M398,1))</f>
        <v>2</v>
      </c>
      <c r="M398" t="s">
        <v>602</v>
      </c>
      <c r="N398" t="s">
        <v>771</v>
      </c>
    </row>
    <row r="399" spans="2:16">
      <c r="B399">
        <v>32</v>
      </c>
      <c r="C399">
        <v>4</v>
      </c>
      <c r="D399">
        <v>135</v>
      </c>
      <c r="E399">
        <v>84</v>
      </c>
      <c r="F399">
        <v>2295</v>
      </c>
      <c r="G399">
        <v>11.6</v>
      </c>
      <c r="H399">
        <v>82</v>
      </c>
      <c r="I399">
        <f>IF(L399=1,1,0)</f>
        <v>1</v>
      </c>
      <c r="J399">
        <f>IF(L399=2,1,0)</f>
        <v>0</v>
      </c>
      <c r="K399">
        <f>IF(L399=3,1,0)</f>
        <v>0</v>
      </c>
      <c r="L399">
        <f>VALUE(LEFT(M399,1))</f>
        <v>1</v>
      </c>
      <c r="M399" t="s">
        <v>434</v>
      </c>
      <c r="N399" t="s">
        <v>772</v>
      </c>
    </row>
    <row r="400" spans="2:16">
      <c r="B400">
        <v>28</v>
      </c>
      <c r="C400">
        <v>4</v>
      </c>
      <c r="D400">
        <v>120</v>
      </c>
      <c r="E400">
        <v>79</v>
      </c>
      <c r="F400">
        <v>2625</v>
      </c>
      <c r="G400">
        <v>18.600000000000001</v>
      </c>
      <c r="H400">
        <v>82</v>
      </c>
      <c r="I400">
        <f>IF(L400=1,1,0)</f>
        <v>1</v>
      </c>
      <c r="J400">
        <f>IF(L400=2,1,0)</f>
        <v>0</v>
      </c>
      <c r="K400">
        <f>IF(L400=3,1,0)</f>
        <v>0</v>
      </c>
      <c r="L400">
        <f>VALUE(LEFT(M400,1))</f>
        <v>1</v>
      </c>
      <c r="M400" t="s">
        <v>423</v>
      </c>
      <c r="N400" t="s">
        <v>773</v>
      </c>
    </row>
    <row r="401" spans="2:14">
      <c r="B401">
        <v>31</v>
      </c>
      <c r="C401">
        <v>4</v>
      </c>
      <c r="D401">
        <v>119</v>
      </c>
      <c r="E401">
        <v>82</v>
      </c>
      <c r="F401">
        <v>2720</v>
      </c>
      <c r="G401">
        <v>19.399999999999999</v>
      </c>
      <c r="H401">
        <v>82</v>
      </c>
      <c r="I401">
        <f>IF(L401=1,1,0)</f>
        <v>1</v>
      </c>
      <c r="J401">
        <f>IF(L401=2,1,0)</f>
        <v>0</v>
      </c>
      <c r="K401">
        <f>IF(L401=3,1,0)</f>
        <v>0</v>
      </c>
      <c r="L401">
        <f>VALUE(LEFT(M401,1))</f>
        <v>1</v>
      </c>
      <c r="M401" t="s">
        <v>466</v>
      </c>
      <c r="N401" t="s">
        <v>774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train</vt:lpstr>
      <vt:lpstr>val</vt:lpstr>
      <vt:lpstr>View</vt:lpstr>
      <vt:lpstr>W1</vt:lpstr>
      <vt:lpstr>B1</vt:lpstr>
      <vt:lpstr>W2</vt:lpstr>
      <vt:lpstr>B2</vt:lpstr>
      <vt:lpstr>origin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2020-07-25T04:57:49Z</dcterms:created>
  <dcterms:modified xsi:type="dcterms:W3CDTF">2021-01-03T14:01:05Z</dcterms:modified>
</cp:coreProperties>
</file>